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/>
  <workbookPr filterPrivacy="1" defaultThemeVersion="164011"/>
  <bookViews>
    <workbookView xWindow="0" yWindow="0" windowWidth="22260" windowHeight="126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  <c r="F9" i="1"/>
  <c r="G10" i="1"/>
  <c r="G9" i="1"/>
  <c r="G8" i="1"/>
  <c r="G7" i="1"/>
</calcChain>
</file>

<file path=xl/sharedStrings.xml><?xml version="1.0" encoding="utf-8"?>
<sst xmlns="http://schemas.openxmlformats.org/spreadsheetml/2006/main" count="7" uniqueCount="7">
  <si>
    <t>High Peripheral Clock [Hz]</t>
  </si>
  <si>
    <t>USARTn_CLKDIV</t>
  </si>
  <si>
    <t>USART Synchronous Mode Bit Rate</t>
  </si>
  <si>
    <t>Desired</t>
  </si>
  <si>
    <t>Clock Generation</t>
  </si>
  <si>
    <t>Max Clock Speed Master Mode</t>
  </si>
  <si>
    <t>Max Clock Speed Slave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</si>
</sst>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#,###\ &quot;kHz&quot;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i/>
      <sz val="16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" xfId="0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3" borderId="1" xfId="0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0" fillId="0" borderId="0" xfId="0" applyFill="1"/>
    <xf numFmtId="0" fontId="3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68" fontId="0" fillId="2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5:H10"/>
  <sheetViews>
    <sheetView tabSelected="1" workbookViewId="0">
      <selection activeCell="H29" sqref="H29"/>
    </sheetView>
  </sheetViews>
  <sheetFormatPr defaultRowHeight="15" x14ac:dyDescent="0.25"/>
  <cols>
    <col min="5" max="6" width="31.85546875" customWidth="1"/>
    <col min="7" max="7" width="15.28515625" bestFit="1" customWidth="1"/>
    <col min="8" max="8" width="32" bestFit="1" customWidth="1"/>
  </cols>
  <sheetData>
    <row r="5" spans="5:8" ht="21" x14ac:dyDescent="0.35">
      <c r="E5" s="10" t="s">
        <v>4</v>
      </c>
      <c r="F5" s="10"/>
      <c r="G5" s="10"/>
    </row>
    <row r="6" spans="5:8" ht="18.75" x14ac:dyDescent="0.25">
      <c r="E6" s="3" t="s">
        <v>0</v>
      </c>
      <c r="F6" s="4">
        <v>14000000</v>
      </c>
      <c r="G6" s="9" t="s">
        <v>3</v>
      </c>
      <c r="H6" s="8"/>
    </row>
    <row r="7" spans="5:8" x14ac:dyDescent="0.25">
      <c r="E7" s="5" t="s">
        <v>1</v>
      </c>
      <c r="F7" s="4">
        <v>178944</v>
      </c>
      <c r="G7" s="2">
        <f>256*(F6/(2*F8)-1)</f>
        <v>178944</v>
      </c>
    </row>
    <row r="8" spans="5:8" x14ac:dyDescent="0.25">
      <c r="E8" s="7" t="s">
        <v>2</v>
      </c>
      <c r="F8" s="6">
        <v>10000</v>
      </c>
      <c r="G8" s="2">
        <f>F6/(2*(1+F7/256))</f>
        <v>10000</v>
      </c>
    </row>
    <row r="9" spans="5:8" x14ac:dyDescent="0.25">
      <c r="E9" s="1" t="s">
        <v>5</v>
      </c>
      <c r="F9" s="11">
        <f>G9/1000</f>
        <v>7000</v>
      </c>
      <c r="G9" s="2">
        <f>F6/2</f>
        <v>7000000</v>
      </c>
    </row>
    <row r="10" spans="5:8" x14ac:dyDescent="0.25">
      <c r="E10" s="1" t="s">
        <v>6</v>
      </c>
      <c r="F10" s="11">
        <f>G10/1000</f>
        <v>1750</v>
      </c>
      <c r="G10" s="2">
        <f>F6/8</f>
        <v>1750000</v>
      </c>
    </row>
  </sheetData>
  <mergeCells count="1">
    <mergeCell ref="E5:G5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2016-08-15T13:50:34Z</dcterms:modified>
</cp:coreProperties>
</file>