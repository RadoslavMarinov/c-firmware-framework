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729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rmrd001\git\c-framework\project\tools\"/>
    </mc:Choice>
  </mc:AlternateContent>
  <bookViews>
    <workbookView xWindow="0" yWindow="0" windowWidth="27870" windowHeight="12795"/>
  </bookViews>
  <sheets>
    <sheet name="Sheet1" sheetId="1" r:id="rId1"/>
    <sheet name="Sheet2" sheetId="2" r:id="rId2"/>
  </sheets>
  <calcPr calcId="162913"/>
</workbook>
</file>

<file path=xl/calcChain.xml><?xml version="1.0" encoding="utf-8"?>
<calcChain xmlns="http://schemas.openxmlformats.org/spreadsheetml/2006/main">
  <c r="K7" i="2" l="1"/>
  <c r="I7" i="2" l="1"/>
  <c r="G7" i="2"/>
  <c r="F9" i="1" l="1"/>
  <c r="L9" i="1"/>
  <c r="F10" i="1"/>
  <c r="E40" i="1" l="1"/>
  <c r="E39" i="1"/>
  <c r="D35" i="1"/>
  <c r="J37" i="1"/>
  <c r="D36" i="1" l="1"/>
  <c r="C36" i="1" s="1"/>
  <c r="D29" i="1"/>
  <c r="J32" i="1"/>
  <c r="C31" i="1"/>
  <c r="D30" i="1" l="1"/>
  <c r="C30" i="1" s="1"/>
  <c r="D45" i="1" s="1"/>
  <c r="E43" i="1"/>
  <c r="C33" i="1" l="1"/>
  <c r="E33" i="1" s="1"/>
  <c r="B8" i="2"/>
  <c r="A6" i="2"/>
  <c r="B6" i="2" s="1"/>
  <c r="B4" i="2"/>
  <c r="D44" i="1"/>
  <c r="D43" i="1"/>
  <c r="D42" i="1"/>
  <c r="G41" i="1"/>
  <c r="E41" i="1"/>
  <c r="D41" i="1"/>
  <c r="D40" i="1"/>
  <c r="D39" i="1"/>
  <c r="E38" i="1"/>
  <c r="D38" i="1"/>
  <c r="E37" i="1"/>
  <c r="D37" i="1"/>
  <c r="G35" i="1"/>
  <c r="D34" i="1"/>
  <c r="G33" i="1"/>
  <c r="G32" i="1"/>
  <c r="E32" i="1"/>
  <c r="D32" i="1"/>
  <c r="D31" i="1"/>
  <c r="C15" i="1"/>
  <c r="C14" i="1"/>
  <c r="A7" i="2" l="1"/>
  <c r="B7" i="2" s="1"/>
  <c r="G31" i="1"/>
  <c r="H32" i="1" s="1"/>
  <c r="G34" i="1"/>
  <c r="H34" i="1" s="1"/>
  <c r="C16" i="1"/>
  <c r="E35" i="1" l="1"/>
  <c r="I34" i="1"/>
  <c r="J35" i="1" s="1"/>
  <c r="J36" i="1" s="1"/>
  <c r="D46" i="1" s="1"/>
  <c r="C17" i="1"/>
  <c r="C18" i="1" s="1"/>
  <c r="C19" i="1" s="1"/>
  <c r="C21" i="1" s="1"/>
  <c r="C20" i="1" l="1"/>
  <c r="C22" i="1" l="1"/>
  <c r="C10" i="1" s="1"/>
  <c r="C24" i="1" s="1"/>
  <c r="C23" i="1"/>
</calcChain>
</file>

<file path=xl/comments1.xml><?xml version="1.0" encoding="utf-8"?>
<comments xmlns="http://schemas.openxmlformats.org/spreadsheetml/2006/main">
  <authors>
    <author>Radoslav Marinov</author>
  </authors>
  <commentList>
    <comment ref="F9" authorId="0" shapeId="0">
      <text>
        <r>
          <rPr>
            <b/>
            <sz val="9"/>
            <color indexed="81"/>
            <rFont val="Tahoma"/>
            <family val="2"/>
            <charset val="204"/>
          </rPr>
          <t>Radoslav Marinov:</t>
        </r>
        <r>
          <rPr>
            <sz val="9"/>
            <color indexed="81"/>
            <rFont val="Tahoma"/>
            <family val="2"/>
            <charset val="204"/>
          </rPr>
          <t xml:space="preserve">
This is the actual devider shifted right 6 places
</t>
        </r>
      </text>
    </comment>
    <comment ref="C10" authorId="0" shapeId="0">
      <text>
        <r>
          <rPr>
            <b/>
            <sz val="9"/>
            <color indexed="81"/>
            <rFont val="Tahoma"/>
            <family val="2"/>
            <charset val="204"/>
          </rPr>
          <t>Radoslav Marinov:</t>
        </r>
        <r>
          <rPr>
            <sz val="9"/>
            <color indexed="81"/>
            <rFont val="Tahoma"/>
            <family val="2"/>
            <charset val="204"/>
          </rPr>
          <t xml:space="preserve">
6 places right shifted devider value
</t>
        </r>
      </text>
    </comment>
    <comment ref="J32" authorId="0" shapeId="0">
      <text>
        <r>
          <rPr>
            <b/>
            <sz val="9"/>
            <color indexed="81"/>
            <rFont val="Tahoma"/>
            <family val="2"/>
            <charset val="204"/>
          </rPr>
          <t>Radoslav Marinov:</t>
        </r>
        <r>
          <rPr>
            <sz val="9"/>
            <color indexed="81"/>
            <rFont val="Tahoma"/>
            <family val="2"/>
            <charset val="204"/>
          </rPr>
          <t xml:space="preserve">
with how many bytes to increment
</t>
        </r>
      </text>
    </comment>
    <comment ref="J35" authorId="0" shapeId="0">
      <text>
        <r>
          <rPr>
            <b/>
            <sz val="9"/>
            <color rgb="FF000000"/>
            <rFont val="Tahoma"/>
            <family val="2"/>
            <charset val="204"/>
          </rPr>
          <t>Radoslav Marinov:</t>
        </r>
        <r>
          <rPr>
            <sz val="9"/>
            <color rgb="FF000000"/>
            <rFont val="Tahoma"/>
            <family val="2"/>
            <charset val="204"/>
          </rPr>
          <t xml:space="preserve">
Control Register Decimal Representation</t>
        </r>
        <r>
          <rPr>
            <sz val="9"/>
            <color rgb="FF000000"/>
            <rFont val="Tahoma"/>
            <family val="2"/>
            <charset val="20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<sst xmlns="http://schemas.openxmlformats.org/spreadsheetml/2006/main" count="73" uniqueCount="63">
  <si>
    <t>LEGEND - colour notation</t>
  </si>
  <si>
    <t>Input field</t>
  </si>
  <si>
    <t>OUTPUT</t>
  </si>
  <si>
    <t>Report errors</t>
  </si>
  <si>
    <t>Expansion</t>
  </si>
  <si>
    <t>ITALIC = hexadecimal number</t>
  </si>
  <si>
    <t>BOLD = SFR bitfield</t>
  </si>
  <si>
    <t>Baud Rate</t>
  </si>
  <si>
    <t>USARTn_CLKDIV</t>
  </si>
  <si>
    <t>HFPERCLK</t>
  </si>
  <si>
    <t>Oversample</t>
  </si>
  <si>
    <t>USARTn_CLKDIV(perfect)</t>
  </si>
  <si>
    <t>USARTn_CLKDIV(perfect)/256</t>
  </si>
  <si>
    <t>USARTn_CLKDIV(perfect) integer part</t>
  </si>
  <si>
    <t>USARTn_CLKDIV(perfect) remainder</t>
  </si>
  <si>
    <t>USARTn_CLKDIV fraction-to-int</t>
  </si>
  <si>
    <t>USARTn_CLKDIV fraction(7:6)&gt;&gt;6</t>
  </si>
  <si>
    <t>USARTn_CLKDIV fraction(20:8) &gt;&gt; 6</t>
  </si>
  <si>
    <t>USARTn_CLKDIV fraction(7:6)</t>
  </si>
  <si>
    <t>USARTn_CLKDIV fraction(20:8)</t>
  </si>
  <si>
    <t>USARTn_CLKDIV/256 (ROUNDED)</t>
  </si>
  <si>
    <t>ERRORS:</t>
  </si>
  <si>
    <t>Control Data Structure</t>
  </si>
  <si>
    <t>Destination start address</t>
  </si>
  <si>
    <t>dest_data_end_ptr[HEX]</t>
  </si>
  <si>
    <t>n_minus_1</t>
  </si>
  <si>
    <t>dst_inc</t>
  </si>
  <si>
    <t>dst_size</t>
  </si>
  <si>
    <t>Desired Number of Transfers</t>
  </si>
  <si>
    <t>Source start address</t>
  </si>
  <si>
    <t>src_data_end_ptr</t>
  </si>
  <si>
    <t>src_inc</t>
  </si>
  <si>
    <t>src_size</t>
  </si>
  <si>
    <t xml:space="preserve"> dst_prot_ctrl</t>
  </si>
  <si>
    <t>src_prot_ctrl</t>
  </si>
  <si>
    <t>R_power</t>
  </si>
  <si>
    <t>next_useburst</t>
  </si>
  <si>
    <t>cycle_ctrl</t>
  </si>
  <si>
    <t>0x000</t>
  </si>
  <si>
    <t>Source End Pointer</t>
  </si>
  <si>
    <t>0x004</t>
  </si>
  <si>
    <t>Destination End Pointer</t>
  </si>
  <si>
    <t>0x008</t>
  </si>
  <si>
    <t>Control</t>
  </si>
  <si>
    <t>0x00C</t>
  </si>
  <si>
    <t>User</t>
  </si>
  <si>
    <t>2000000C</t>
  </si>
  <si>
    <t>Base Address</t>
  </si>
  <si>
    <t xml:space="preserve"> Asycnchronus Mode: Calculate USARTn_CLKDIV register value by given: Baud Rate, HFPERCLK[Hz], Oversample</t>
  </si>
  <si>
    <t>Baud Rate Desired</t>
  </si>
  <si>
    <t>Synchronus mode Bit Rate Calculator</t>
  </si>
  <si>
    <t>Module</t>
  </si>
  <si>
    <t>USART1</t>
  </si>
  <si>
    <t>4000C400</t>
  </si>
  <si>
    <t>TxData</t>
  </si>
  <si>
    <t>Offset</t>
  </si>
  <si>
    <t>Absolute Address</t>
  </si>
  <si>
    <t>RxData</t>
  </si>
  <si>
    <t>1C</t>
  </si>
  <si>
    <t>IFC</t>
  </si>
  <si>
    <t>Abslolute Address</t>
  </si>
  <si>
    <t>4000C424</t>
  </si>
  <si>
    <t>RxDouble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</si>
</sst>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#,###&quot;Hz&quot;"/>
    <numFmt numFmtId="165" formatCode="#,###&quot;bps&quot;"/>
  </numFmts>
  <fonts count="20" x14ac:knownFonts="1">
    <font>
      <sz val="11"/>
      <color rgb="FF000000"/>
      <name val="Calibri"/>
      <family val="2"/>
      <charset val="204"/>
    </font>
    <font>
      <i/>
      <sz val="11"/>
      <color rgb="FF000000"/>
      <name val="Calibri"/>
      <family val="2"/>
      <charset val="204"/>
    </font>
    <font>
      <b/>
      <sz val="11"/>
      <color rgb="FF000000"/>
      <name val="Calibri"/>
      <family val="2"/>
      <charset val="204"/>
    </font>
    <font>
      <sz val="14"/>
      <color rgb="FF000000"/>
      <name val="Arial"/>
      <family val="2"/>
      <charset val="204"/>
    </font>
    <font>
      <sz val="14"/>
      <color rgb="FF000000"/>
      <name val="Calibri"/>
      <family val="2"/>
      <charset val="204"/>
    </font>
    <font>
      <b/>
      <sz val="18"/>
      <color rgb="FF000000"/>
      <name val="Calibri"/>
      <family val="2"/>
      <charset val="204"/>
    </font>
    <font>
      <b/>
      <sz val="20"/>
      <color rgb="FF000000"/>
      <name val="Calibri"/>
      <family val="2"/>
      <charset val="204"/>
    </font>
    <font>
      <sz val="18"/>
      <color rgb="FF000000"/>
      <name val="Calibri"/>
      <family val="2"/>
      <charset val="204"/>
    </font>
    <font>
      <i/>
      <sz val="16"/>
      <color rgb="FF000000"/>
      <name val="Calibri"/>
      <family val="2"/>
      <charset val="204"/>
    </font>
    <font>
      <b/>
      <i/>
      <sz val="16"/>
      <color rgb="FF000000"/>
      <name val="Calibri"/>
      <family val="2"/>
      <charset val="204"/>
    </font>
    <font>
      <b/>
      <sz val="16"/>
      <color rgb="FF000000"/>
      <name val="Calibri"/>
      <family val="2"/>
      <charset val="204"/>
    </font>
    <font>
      <b/>
      <sz val="14"/>
      <color rgb="FF000000"/>
      <name val="Calibri"/>
      <family val="2"/>
      <charset val="204"/>
    </font>
    <font>
      <sz val="16"/>
      <color rgb="FF000000"/>
      <name val="Calibri"/>
      <family val="2"/>
      <charset val="204"/>
    </font>
    <font>
      <b/>
      <sz val="9"/>
      <color rgb="FF000000"/>
      <name val="Tahoma"/>
      <family val="2"/>
      <charset val="204"/>
    </font>
    <font>
      <sz val="9"/>
      <color rgb="FF000000"/>
      <name val="Tahoma"/>
      <family val="2"/>
      <charset val="204"/>
    </font>
    <font>
      <i/>
      <sz val="14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6"/>
      <color rgb="FFFFFF00"/>
      <name val="Calibri"/>
      <family val="2"/>
      <charset val="204"/>
    </font>
    <font>
      <sz val="11"/>
      <name val="Calibri"/>
      <family val="2"/>
      <charset val="204"/>
    </font>
  </fonts>
  <fills count="14">
    <fill>
      <patternFill patternType="none"/>
    </fill>
    <fill>
      <patternFill patternType="gray125"/>
    </fill>
    <fill>
      <patternFill patternType="solid">
        <fgColor rgb="FF92D050"/>
        <bgColor rgb="FF92D050"/>
      </patternFill>
    </fill>
    <fill>
      <patternFill patternType="solid">
        <fgColor rgb="FFFFFF00"/>
        <bgColor rgb="FFFFFF00"/>
      </patternFill>
    </fill>
    <fill>
      <patternFill patternType="solid">
        <fgColor rgb="FFFF0000"/>
        <bgColor rgb="FFFF0000"/>
      </patternFill>
    </fill>
    <fill>
      <patternFill patternType="solid">
        <fgColor rgb="FF9BC2E6"/>
        <bgColor rgb="FF9BC2E6"/>
      </patternFill>
    </fill>
    <fill>
      <patternFill patternType="solid">
        <fgColor rgb="FFFF3300"/>
        <bgColor rgb="FFFF3300"/>
      </patternFill>
    </fill>
    <fill>
      <patternFill patternType="solid">
        <fgColor rgb="FFFFC000"/>
        <bgColor rgb="FFFFC000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rgb="FF92D050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rgb="FFFFFF00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</fills>
  <borders count="32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8">
    <xf numFmtId="0" fontId="0" fillId="0" borderId="0" xfId="0"/>
    <xf numFmtId="0" fontId="0" fillId="0" borderId="0" xfId="0" applyAlignment="1">
      <alignment horizontal="center"/>
    </xf>
    <xf numFmtId="0" fontId="0" fillId="0" borderId="0" xfId="0" applyProtection="1"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0" fillId="3" borderId="2" xfId="0" applyFill="1" applyBorder="1" applyAlignment="1" applyProtection="1">
      <alignment horizontal="center"/>
      <protection locked="0"/>
    </xf>
    <xf numFmtId="0" fontId="0" fillId="4" borderId="2" xfId="0" applyFill="1" applyBorder="1" applyAlignment="1" applyProtection="1">
      <alignment horizontal="center"/>
      <protection locked="0"/>
    </xf>
    <xf numFmtId="0" fontId="0" fillId="5" borderId="2" xfId="0" applyFill="1" applyBorder="1" applyAlignment="1" applyProtection="1">
      <alignment horizontal="center"/>
      <protection locked="0"/>
    </xf>
    <xf numFmtId="0" fontId="1" fillId="0" borderId="3" xfId="0" applyFont="1" applyFill="1" applyBorder="1" applyProtection="1">
      <protection locked="0"/>
    </xf>
    <xf numFmtId="0" fontId="2" fillId="0" borderId="4" xfId="0" applyFont="1" applyFill="1" applyBorder="1" applyProtection="1">
      <protection locked="0"/>
    </xf>
    <xf numFmtId="0" fontId="0" fillId="0" borderId="0" xfId="0" applyFill="1" applyProtection="1">
      <protection locked="0"/>
    </xf>
    <xf numFmtId="0" fontId="4" fillId="2" borderId="5" xfId="0" applyFont="1" applyFill="1" applyBorder="1" applyProtection="1">
      <protection locked="0"/>
    </xf>
    <xf numFmtId="0" fontId="4" fillId="2" borderId="6" xfId="0" applyFont="1" applyFill="1" applyBorder="1" applyProtection="1">
      <protection locked="0"/>
    </xf>
    <xf numFmtId="0" fontId="4" fillId="3" borderId="5" xfId="0" applyFont="1" applyFill="1" applyBorder="1" applyProtection="1">
      <protection locked="0"/>
    </xf>
    <xf numFmtId="164" fontId="4" fillId="2" borderId="6" xfId="0" applyNumberFormat="1" applyFont="1" applyFill="1" applyBorder="1" applyProtection="1">
      <protection locked="0"/>
    </xf>
    <xf numFmtId="0" fontId="4" fillId="0" borderId="5" xfId="0" applyFont="1" applyBorder="1" applyProtection="1">
      <protection locked="0"/>
    </xf>
    <xf numFmtId="0" fontId="4" fillId="0" borderId="6" xfId="0" applyFont="1" applyBorder="1" applyProtection="1">
      <protection locked="0"/>
    </xf>
    <xf numFmtId="0" fontId="4" fillId="5" borderId="5" xfId="0" applyFont="1" applyFill="1" applyBorder="1" applyProtection="1">
      <protection locked="0"/>
    </xf>
    <xf numFmtId="0" fontId="4" fillId="5" borderId="6" xfId="0" applyFont="1" applyFill="1" applyBorder="1" applyProtection="1">
      <protection locked="0"/>
    </xf>
    <xf numFmtId="0" fontId="5" fillId="6" borderId="7" xfId="0" applyFont="1" applyFill="1" applyBorder="1" applyProtection="1">
      <protection locked="0"/>
    </xf>
    <xf numFmtId="0" fontId="6" fillId="6" borderId="8" xfId="0" applyFont="1" applyFill="1" applyBorder="1" applyProtection="1">
      <protection locked="0"/>
    </xf>
    <xf numFmtId="0" fontId="0" fillId="5" borderId="2" xfId="0" applyFill="1" applyBorder="1" applyProtection="1">
      <protection locked="0"/>
    </xf>
    <xf numFmtId="0" fontId="0" fillId="4" borderId="2" xfId="0" applyFill="1" applyBorder="1" applyProtection="1">
      <protection locked="0"/>
    </xf>
    <xf numFmtId="0" fontId="11" fillId="4" borderId="2" xfId="0" applyFont="1" applyFill="1" applyBorder="1" applyAlignment="1" applyProtection="1">
      <alignment wrapText="1"/>
      <protection locked="0"/>
    </xf>
    <xf numFmtId="0" fontId="11" fillId="4" borderId="2" xfId="0" applyFont="1" applyFill="1" applyBorder="1" applyProtection="1">
      <protection locked="0"/>
    </xf>
    <xf numFmtId="0" fontId="4" fillId="4" borderId="2" xfId="0" applyFont="1" applyFill="1" applyBorder="1" applyProtection="1">
      <protection locked="0"/>
    </xf>
    <xf numFmtId="0" fontId="4" fillId="4" borderId="2" xfId="0" applyFont="1" applyFill="1" applyBorder="1" applyAlignment="1" applyProtection="1">
      <alignment wrapText="1"/>
      <protection locked="0"/>
    </xf>
    <xf numFmtId="0" fontId="7" fillId="4" borderId="2" xfId="0" applyFont="1" applyFill="1" applyBorder="1" applyProtection="1">
      <protection locked="0"/>
    </xf>
    <xf numFmtId="0" fontId="4" fillId="3" borderId="6" xfId="0" applyFont="1" applyFill="1" applyBorder="1" applyProtection="1"/>
    <xf numFmtId="0" fontId="0" fillId="0" borderId="0" xfId="0" applyProtection="1"/>
    <xf numFmtId="0" fontId="0" fillId="0" borderId="11" xfId="0" applyBorder="1" applyProtection="1">
      <protection locked="0"/>
    </xf>
    <xf numFmtId="0" fontId="8" fillId="0" borderId="12" xfId="0" applyFont="1" applyBorder="1" applyProtection="1">
      <protection locked="0"/>
    </xf>
    <xf numFmtId="0" fontId="0" fillId="0" borderId="13" xfId="0" applyBorder="1" applyProtection="1">
      <protection locked="0"/>
    </xf>
    <xf numFmtId="0" fontId="9" fillId="0" borderId="12" xfId="0" applyFont="1" applyBorder="1" applyProtection="1">
      <protection locked="0"/>
    </xf>
    <xf numFmtId="0" fontId="10" fillId="0" borderId="12" xfId="0" applyFont="1" applyBorder="1" applyProtection="1">
      <protection locked="0"/>
    </xf>
    <xf numFmtId="0" fontId="4" fillId="7" borderId="13" xfId="0" applyFont="1" applyFill="1" applyBorder="1" applyProtection="1">
      <protection locked="0"/>
    </xf>
    <xf numFmtId="0" fontId="12" fillId="0" borderId="12" xfId="0" applyFont="1" applyFill="1" applyBorder="1" applyProtection="1">
      <protection locked="0"/>
    </xf>
    <xf numFmtId="0" fontId="4" fillId="0" borderId="13" xfId="0" applyFont="1" applyBorder="1" applyProtection="1">
      <protection locked="0"/>
    </xf>
    <xf numFmtId="0" fontId="10" fillId="0" borderId="12" xfId="0" applyFont="1" applyFill="1" applyBorder="1" applyProtection="1">
      <protection locked="0"/>
    </xf>
    <xf numFmtId="0" fontId="12" fillId="7" borderId="13" xfId="0" applyFont="1" applyFill="1" applyBorder="1" applyAlignment="1" applyProtection="1">
      <alignment wrapText="1"/>
      <protection locked="0"/>
    </xf>
    <xf numFmtId="0" fontId="12" fillId="8" borderId="13" xfId="0" applyFont="1" applyFill="1" applyBorder="1" applyAlignment="1" applyProtection="1">
      <alignment horizontal="center" vertical="center" wrapText="1"/>
      <protection locked="0"/>
    </xf>
    <xf numFmtId="0" fontId="4" fillId="3" borderId="2" xfId="0" applyFont="1" applyFill="1" applyBorder="1" applyAlignment="1" applyProtection="1">
      <alignment horizontal="right" vertical="center"/>
    </xf>
    <xf numFmtId="0" fontId="4" fillId="2" borderId="2" xfId="0" applyFont="1" applyFill="1" applyBorder="1" applyAlignment="1" applyProtection="1">
      <alignment horizontal="right" vertical="center"/>
      <protection locked="0"/>
    </xf>
    <xf numFmtId="0" fontId="4" fillId="8" borderId="13" xfId="0" applyFont="1" applyFill="1" applyBorder="1" applyProtection="1">
      <protection locked="0"/>
    </xf>
    <xf numFmtId="0" fontId="15" fillId="9" borderId="2" xfId="0" applyNumberFormat="1" applyFont="1" applyFill="1" applyBorder="1" applyAlignment="1" applyProtection="1">
      <alignment horizontal="right" vertical="center"/>
      <protection locked="0"/>
    </xf>
    <xf numFmtId="0" fontId="15" fillId="9" borderId="2" xfId="0" applyFont="1" applyFill="1" applyBorder="1" applyAlignment="1" applyProtection="1">
      <alignment horizontal="right" vertical="center"/>
      <protection locked="0"/>
    </xf>
    <xf numFmtId="0" fontId="15" fillId="11" borderId="2" xfId="0" applyFont="1" applyFill="1" applyBorder="1" applyAlignment="1" applyProtection="1">
      <alignment horizontal="right" vertical="center"/>
    </xf>
    <xf numFmtId="0" fontId="15" fillId="11" borderId="2" xfId="0" applyNumberFormat="1" applyFont="1" applyFill="1" applyBorder="1" applyAlignment="1" applyProtection="1">
      <alignment horizontal="right" vertical="center"/>
    </xf>
    <xf numFmtId="0" fontId="18" fillId="4" borderId="2" xfId="0" applyFont="1" applyFill="1" applyBorder="1" applyProtection="1">
      <protection locked="0"/>
    </xf>
    <xf numFmtId="0" fontId="0" fillId="0" borderId="0" xfId="0" applyBorder="1" applyProtection="1">
      <protection locked="0"/>
    </xf>
    <xf numFmtId="0" fontId="0" fillId="0" borderId="14" xfId="0" applyBorder="1" applyProtection="1">
      <protection locked="0"/>
    </xf>
    <xf numFmtId="11" fontId="0" fillId="0" borderId="14" xfId="0" applyNumberFormat="1" applyBorder="1" applyProtection="1">
      <protection locked="0"/>
    </xf>
    <xf numFmtId="0" fontId="0" fillId="0" borderId="14" xfId="0" applyBorder="1" applyProtection="1"/>
    <xf numFmtId="0" fontId="10" fillId="0" borderId="15" xfId="0" applyFont="1" applyFill="1" applyBorder="1" applyProtection="1">
      <protection locked="0"/>
    </xf>
    <xf numFmtId="0" fontId="19" fillId="0" borderId="0" xfId="0" applyFont="1" applyProtection="1">
      <protection locked="0"/>
    </xf>
    <xf numFmtId="0" fontId="11" fillId="10" borderId="18" xfId="0" applyFont="1" applyFill="1" applyBorder="1" applyProtection="1">
      <protection locked="0"/>
    </xf>
    <xf numFmtId="0" fontId="11" fillId="10" borderId="19" xfId="0" applyFont="1" applyFill="1" applyBorder="1" applyProtection="1">
      <protection locked="0"/>
    </xf>
    <xf numFmtId="0" fontId="4" fillId="12" borderId="18" xfId="0" applyFont="1" applyFill="1" applyBorder="1" applyProtection="1">
      <protection locked="0"/>
    </xf>
    <xf numFmtId="164" fontId="4" fillId="2" borderId="19" xfId="0" applyNumberFormat="1" applyFont="1" applyFill="1" applyBorder="1" applyProtection="1">
      <protection locked="0"/>
    </xf>
    <xf numFmtId="0" fontId="4" fillId="12" borderId="19" xfId="0" applyFont="1" applyFill="1" applyBorder="1" applyProtection="1">
      <protection locked="0"/>
    </xf>
    <xf numFmtId="0" fontId="4" fillId="12" borderId="20" xfId="0" applyFont="1" applyFill="1" applyBorder="1" applyProtection="1">
      <protection locked="0"/>
    </xf>
    <xf numFmtId="0" fontId="4" fillId="10" borderId="18" xfId="0" applyFont="1" applyFill="1" applyBorder="1" applyProtection="1">
      <protection locked="0"/>
    </xf>
    <xf numFmtId="165" fontId="4" fillId="10" borderId="19" xfId="0" applyNumberFormat="1" applyFont="1" applyFill="1" applyBorder="1" applyProtection="1">
      <protection locked="0"/>
    </xf>
    <xf numFmtId="165" fontId="4" fillId="12" borderId="21" xfId="0" applyNumberFormat="1" applyFont="1" applyFill="1" applyBorder="1" applyProtection="1">
      <protection locked="0"/>
    </xf>
    <xf numFmtId="0" fontId="0" fillId="13" borderId="1" xfId="0" applyFill="1" applyBorder="1" applyAlignment="1" applyProtection="1">
      <alignment horizontal="center"/>
      <protection locked="0"/>
    </xf>
    <xf numFmtId="0" fontId="3" fillId="13" borderId="1" xfId="0" applyFont="1" applyFill="1" applyBorder="1" applyAlignment="1" applyProtection="1">
      <alignment horizontal="center" vertical="center" wrapText="1"/>
      <protection locked="0"/>
    </xf>
    <xf numFmtId="0" fontId="7" fillId="0" borderId="9" xfId="0" applyFont="1" applyFill="1" applyBorder="1" applyAlignment="1" applyProtection="1">
      <alignment horizontal="center"/>
      <protection locked="0"/>
    </xf>
    <xf numFmtId="0" fontId="7" fillId="0" borderId="10" xfId="0" applyFont="1" applyFill="1" applyBorder="1" applyAlignment="1" applyProtection="1">
      <alignment horizontal="center"/>
      <protection locked="0"/>
    </xf>
    <xf numFmtId="0" fontId="12" fillId="13" borderId="16" xfId="0" applyFont="1" applyFill="1" applyBorder="1" applyAlignment="1" applyProtection="1">
      <alignment horizontal="center" vertical="center"/>
      <protection locked="0"/>
    </xf>
    <xf numFmtId="0" fontId="12" fillId="13" borderId="17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1" fillId="0" borderId="23" xfId="0" applyFont="1" applyBorder="1" applyAlignment="1">
      <alignment horizontal="center" vertical="center"/>
    </xf>
    <xf numFmtId="0" fontId="0" fillId="0" borderId="23" xfId="0" applyBorder="1"/>
    <xf numFmtId="0" fontId="1" fillId="0" borderId="23" xfId="0" applyFont="1" applyBorder="1"/>
    <xf numFmtId="0" fontId="0" fillId="0" borderId="16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4" xfId="0" applyBorder="1" applyAlignment="1">
      <alignment horizontal="center"/>
    </xf>
    <xf numFmtId="0" fontId="0" fillId="0" borderId="20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5" xfId="0" applyBorder="1"/>
    <xf numFmtId="0" fontId="0" fillId="0" borderId="25" xfId="0" applyFill="1" applyBorder="1"/>
    <xf numFmtId="0" fontId="0" fillId="0" borderId="26" xfId="0" applyBorder="1" applyAlignment="1">
      <alignment horizontal="center"/>
    </xf>
    <xf numFmtId="0" fontId="0" fillId="0" borderId="27" xfId="0" applyFill="1" applyBorder="1"/>
    <xf numFmtId="0" fontId="1" fillId="0" borderId="28" xfId="0" applyFont="1" applyBorder="1"/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2" xfId="0" applyFill="1" applyBorder="1"/>
    <xf numFmtId="0" fontId="0" fillId="0" borderId="31" xfId="0" applyFill="1" applyBorder="1"/>
  </cellXfs>
  <cellStyles count="1">
    <cellStyle name="Normal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L47"/>
  <sheetViews>
    <sheetView tabSelected="1" topLeftCell="A25" zoomScale="85" zoomScaleNormal="85" workbookViewId="0">
      <selection activeCell="C43" sqref="C43"/>
    </sheetView>
  </sheetViews>
  <sheetFormatPr defaultRowHeight="15" x14ac:dyDescent="0.25"/>
  <cols>
    <col min="1" max="1" width="9.140625" style="2" customWidth="1"/>
    <col min="2" max="2" width="43.7109375" style="2" customWidth="1"/>
    <col min="3" max="3" width="36.85546875" style="2" customWidth="1"/>
    <col min="4" max="4" width="26.85546875" style="2" customWidth="1"/>
    <col min="5" max="5" width="24.28515625" style="2" customWidth="1"/>
    <col min="6" max="6" width="27.28515625" style="2" customWidth="1"/>
    <col min="7" max="9" width="11.28515625" style="2" hidden="1" customWidth="1"/>
    <col min="10" max="10" width="36.42578125" style="2" customWidth="1"/>
    <col min="11" max="11" width="34.28515625" style="2" customWidth="1"/>
    <col min="12" max="12" width="19.42578125" style="2" customWidth="1"/>
    <col min="13" max="13" width="20.140625" style="2" customWidth="1"/>
    <col min="14" max="14" width="11.140625" style="2" customWidth="1"/>
    <col min="15" max="15" width="12.7109375" style="2" customWidth="1"/>
    <col min="16" max="16" width="15" style="2" customWidth="1"/>
    <col min="17" max="17" width="14.85546875" style="2" customWidth="1"/>
    <col min="18" max="18" width="18.140625" style="2" customWidth="1"/>
    <col min="19" max="20" width="23.85546875" style="2" customWidth="1"/>
    <col min="21" max="21" width="15" style="2" customWidth="1"/>
    <col min="22" max="22" width="12.85546875" style="2" customWidth="1"/>
    <col min="23" max="23" width="9.140625" style="2" customWidth="1"/>
    <col min="24" max="24" width="14.140625" style="2" customWidth="1"/>
    <col min="25" max="25" width="9.140625" style="2" customWidth="1"/>
    <col min="26" max="16384" width="9.140625" style="2"/>
  </cols>
  <sheetData>
    <row r="1" spans="2:12" ht="15.75" thickBot="1" x14ac:dyDescent="0.3"/>
    <row r="2" spans="2:12" x14ac:dyDescent="0.25">
      <c r="B2" s="63" t="s">
        <v>0</v>
      </c>
      <c r="C2" s="63"/>
    </row>
    <row r="3" spans="2:12" x14ac:dyDescent="0.25">
      <c r="B3" s="3" t="s">
        <v>1</v>
      </c>
      <c r="C3" s="4" t="s">
        <v>2</v>
      </c>
    </row>
    <row r="4" spans="2:12" ht="18.75" customHeight="1" x14ac:dyDescent="0.25">
      <c r="B4" s="5" t="s">
        <v>3</v>
      </c>
      <c r="C4" s="6" t="s">
        <v>4</v>
      </c>
    </row>
    <row r="5" spans="2:12" ht="18.75" customHeight="1" thickBot="1" x14ac:dyDescent="0.3">
      <c r="B5" s="7" t="s">
        <v>5</v>
      </c>
      <c r="C5" s="8" t="s">
        <v>6</v>
      </c>
    </row>
    <row r="6" spans="2:12" ht="18.75" customHeight="1" x14ac:dyDescent="0.25">
      <c r="C6" s="9"/>
    </row>
    <row r="7" spans="2:12" ht="9" customHeight="1" thickBot="1" x14ac:dyDescent="0.3">
      <c r="B7" s="9"/>
      <c r="C7" s="9"/>
    </row>
    <row r="8" spans="2:12" ht="50.25" customHeight="1" x14ac:dyDescent="0.25">
      <c r="B8" s="64" t="s">
        <v>48</v>
      </c>
      <c r="C8" s="64"/>
      <c r="E8" s="67" t="s">
        <v>50</v>
      </c>
      <c r="F8" s="68"/>
    </row>
    <row r="9" spans="2:12" ht="23.25" customHeight="1" x14ac:dyDescent="0.3">
      <c r="B9" s="10" t="s">
        <v>7</v>
      </c>
      <c r="C9" s="11">
        <v>9600</v>
      </c>
      <c r="E9" s="54" t="s">
        <v>8</v>
      </c>
      <c r="F9" s="55">
        <f>256*(F11/(2*F13)-1)</f>
        <v>17664</v>
      </c>
      <c r="L9" s="2">
        <f>ROUND(K9,0)</f>
        <v>0</v>
      </c>
    </row>
    <row r="10" spans="2:12" ht="23.25" customHeight="1" x14ac:dyDescent="0.3">
      <c r="B10" s="12" t="s">
        <v>8</v>
      </c>
      <c r="C10" s="27">
        <f>_xlfn.BITOR(C22,C21)</f>
        <v>23104</v>
      </c>
      <c r="D10" s="53"/>
      <c r="E10" s="60" t="s">
        <v>49</v>
      </c>
      <c r="F10" s="61">
        <f>F11/(2*(1+(_xlfn.BITRSHIFT(F12,6))/256))</f>
        <v>7000000</v>
      </c>
    </row>
    <row r="11" spans="2:12" ht="23.25" customHeight="1" x14ac:dyDescent="0.3">
      <c r="B11" s="10" t="s">
        <v>9</v>
      </c>
      <c r="C11" s="13">
        <v>14000000</v>
      </c>
      <c r="E11" s="56" t="s">
        <v>9</v>
      </c>
      <c r="F11" s="57">
        <v>14000000</v>
      </c>
    </row>
    <row r="12" spans="2:12" ht="23.25" customHeight="1" x14ac:dyDescent="0.3">
      <c r="B12" s="10" t="s">
        <v>10</v>
      </c>
      <c r="C12" s="11">
        <v>16</v>
      </c>
      <c r="E12" s="56" t="s">
        <v>8</v>
      </c>
      <c r="F12" s="58"/>
    </row>
    <row r="13" spans="2:12" ht="19.5" thickBot="1" x14ac:dyDescent="0.35">
      <c r="B13" s="14"/>
      <c r="C13" s="15"/>
      <c r="E13" s="59" t="s">
        <v>49</v>
      </c>
      <c r="F13" s="62">
        <v>100000</v>
      </c>
    </row>
    <row r="14" spans="2:12" ht="18.75" x14ac:dyDescent="0.3">
      <c r="B14" s="16" t="s">
        <v>11</v>
      </c>
      <c r="C14" s="17">
        <f>256*(C11/(C12*C9)-1)</f>
        <v>23077.333333333332</v>
      </c>
      <c r="E14" s="48"/>
      <c r="F14" s="48"/>
    </row>
    <row r="15" spans="2:12" ht="18.75" x14ac:dyDescent="0.3">
      <c r="B15" s="16" t="s">
        <v>12</v>
      </c>
      <c r="C15" s="17">
        <f>(C11/(C12*C9)-1)</f>
        <v>90.145833333333329</v>
      </c>
      <c r="E15" s="48"/>
      <c r="F15" s="48"/>
    </row>
    <row r="16" spans="2:12" ht="18.75" x14ac:dyDescent="0.3">
      <c r="B16" s="16" t="s">
        <v>13</v>
      </c>
      <c r="C16" s="17">
        <f>INT(C15)</f>
        <v>90</v>
      </c>
      <c r="E16" s="48"/>
      <c r="F16" s="48"/>
    </row>
    <row r="17" spans="2:12" ht="18.75" x14ac:dyDescent="0.3">
      <c r="B17" s="16" t="s">
        <v>14</v>
      </c>
      <c r="C17" s="17">
        <f>MOD(C15,C16)</f>
        <v>0.1458333333333286</v>
      </c>
      <c r="E17" s="48"/>
      <c r="F17" s="48"/>
    </row>
    <row r="18" spans="2:12" ht="18.75" x14ac:dyDescent="0.3">
      <c r="B18" s="16" t="s">
        <v>15</v>
      </c>
      <c r="C18" s="17">
        <f>ROUND(C17/0.25,0)</f>
        <v>1</v>
      </c>
      <c r="E18" s="48"/>
      <c r="F18" s="48"/>
    </row>
    <row r="19" spans="2:12" ht="18.75" x14ac:dyDescent="0.3">
      <c r="B19" s="16" t="s">
        <v>16</v>
      </c>
      <c r="C19" s="17">
        <f>MOD(C18,4)</f>
        <v>1</v>
      </c>
      <c r="E19" s="48"/>
      <c r="F19" s="48"/>
    </row>
    <row r="20" spans="2:12" ht="18.75" x14ac:dyDescent="0.3">
      <c r="B20" s="16" t="s">
        <v>17</v>
      </c>
      <c r="C20" s="17">
        <f>C16+INT(C18/4)</f>
        <v>90</v>
      </c>
      <c r="E20" s="48"/>
      <c r="F20" s="48"/>
    </row>
    <row r="21" spans="2:12" ht="18.75" x14ac:dyDescent="0.3">
      <c r="B21" s="16" t="s">
        <v>18</v>
      </c>
      <c r="C21" s="17">
        <f>_xlfn.BITLSHIFT(C19,6)</f>
        <v>64</v>
      </c>
      <c r="E21" s="48"/>
      <c r="F21" s="48"/>
    </row>
    <row r="22" spans="2:12" ht="18.75" x14ac:dyDescent="0.3">
      <c r="B22" s="16" t="s">
        <v>19</v>
      </c>
      <c r="C22" s="17">
        <f>_xlfn.BITLSHIFT(C20,8)</f>
        <v>23040</v>
      </c>
      <c r="E22" s="48"/>
      <c r="F22" s="48"/>
    </row>
    <row r="23" spans="2:12" ht="18.75" x14ac:dyDescent="0.3">
      <c r="B23" s="16" t="s">
        <v>20</v>
      </c>
      <c r="C23" s="17">
        <f>C20+(0.25*C19)</f>
        <v>90.25</v>
      </c>
      <c r="E23" s="48"/>
      <c r="F23" s="48"/>
    </row>
    <row r="24" spans="2:12" ht="27" thickBot="1" x14ac:dyDescent="0.45">
      <c r="B24" s="18" t="s">
        <v>21</v>
      </c>
      <c r="C24" s="19">
        <f>IF(C11/(C12*C9)&lt;1,"Too big Baud Rate",IF(C16&lt;1,"Too big Baud Rate",IF(C10&gt;2097088,"Baud Rate too low",)))</f>
        <v>0</v>
      </c>
      <c r="E24" s="48"/>
      <c r="F24" s="48"/>
    </row>
    <row r="27" spans="2:12" ht="15.75" thickBot="1" x14ac:dyDescent="0.3"/>
    <row r="28" spans="2:12" ht="23.25" x14ac:dyDescent="0.35">
      <c r="B28" s="65" t="s">
        <v>22</v>
      </c>
      <c r="C28" s="66"/>
      <c r="D28" s="66"/>
      <c r="E28" s="29"/>
    </row>
    <row r="29" spans="2:12" ht="21" x14ac:dyDescent="0.35">
      <c r="B29" s="30" t="s">
        <v>23</v>
      </c>
      <c r="C29" s="46">
        <v>0</v>
      </c>
      <c r="D29" s="20">
        <f>HEX2DEC(C29)</f>
        <v>0</v>
      </c>
      <c r="E29" s="31"/>
    </row>
    <row r="30" spans="2:12" ht="21" x14ac:dyDescent="0.35">
      <c r="B30" s="32" t="s">
        <v>24</v>
      </c>
      <c r="C30" s="43" t="str">
        <f>DEC2HEX(D30)</f>
        <v>0</v>
      </c>
      <c r="D30" s="20">
        <f>D29+((C34-1)*J32)</f>
        <v>0</v>
      </c>
      <c r="E30" s="31"/>
      <c r="L30" s="20"/>
    </row>
    <row r="31" spans="2:12" ht="21" x14ac:dyDescent="0.35">
      <c r="B31" s="33" t="s">
        <v>25</v>
      </c>
      <c r="C31" s="40">
        <f>C34-1</f>
        <v>0</v>
      </c>
      <c r="D31" s="21" t="str">
        <f>IF(C31&gt;1023, "Too many transfers!","")</f>
        <v/>
      </c>
      <c r="E31" s="31"/>
      <c r="G31" s="28">
        <f>_xlfn.BITOR(_xlfn.BITLSHIFT(C32,30),_xlfn.BITLSHIFT(C33,28))</f>
        <v>3489660928</v>
      </c>
      <c r="H31" s="28"/>
      <c r="I31" s="28"/>
      <c r="J31" s="28"/>
      <c r="K31" s="28"/>
    </row>
    <row r="32" spans="2:12" ht="21" x14ac:dyDescent="0.35">
      <c r="B32" s="33" t="s">
        <v>26</v>
      </c>
      <c r="C32" s="41">
        <v>3</v>
      </c>
      <c r="D32" s="22" t="str">
        <f>IF(C38&gt;C32, "dst_inc must be greater thatn or equal src_size",IF(C32&gt;3,"Too big value",""))</f>
        <v/>
      </c>
      <c r="E32" s="34" t="str">
        <f>IF(C32=0,"Byte",IF(C32=1,"HalfWord",IF(C32=2,"Word",IF(C32=3,"No increment",""))))</f>
        <v>No increment</v>
      </c>
      <c r="G32" s="28">
        <f>_xlfn.BITOR(_xlfn.BITLSHIFT(C37,26),_xlfn.BITLSHIFT(C38,24))</f>
        <v>218103808</v>
      </c>
      <c r="H32" s="28">
        <f>_xlfn.BITOR(G31,G32)</f>
        <v>3707764736</v>
      </c>
      <c r="I32" s="28"/>
      <c r="J32" s="28">
        <f>IF(C32=0,1,IF(C32=1,2,IF(C32=2,4,0)))</f>
        <v>0</v>
      </c>
      <c r="K32" s="28"/>
    </row>
    <row r="33" spans="2:11" ht="21" x14ac:dyDescent="0.35">
      <c r="B33" s="33" t="s">
        <v>27</v>
      </c>
      <c r="C33" s="40">
        <f>C38</f>
        <v>1</v>
      </c>
      <c r="D33" s="23"/>
      <c r="E33" s="34" t="str">
        <f>IF(C33=0,"Byte",IF(C33=1,"HalfWord",IF(C33=2,"Word",IF(C33=3,"No increment",""))))</f>
        <v>HalfWord</v>
      </c>
      <c r="G33" s="28">
        <f>_xlfn.BITOR(_xlfn.BITLSHIFT(C39,21),_xlfn.BITLSHIFT(C40,18))</f>
        <v>0</v>
      </c>
      <c r="H33" s="28"/>
      <c r="I33" s="28"/>
      <c r="J33" s="28"/>
      <c r="K33" s="28"/>
    </row>
    <row r="34" spans="2:11" ht="21" x14ac:dyDescent="0.35">
      <c r="B34" s="35" t="s">
        <v>28</v>
      </c>
      <c r="C34" s="41">
        <v>1</v>
      </c>
      <c r="D34" s="24" t="str">
        <f>IF(C34&gt;1024,"Too big number!","")</f>
        <v/>
      </c>
      <c r="E34" s="34"/>
      <c r="G34" s="28">
        <f>_xlfn.BITOR(_xlfn.BITLSHIFT(C41,14),_xlfn.BITLSHIFT(C31,4))</f>
        <v>0</v>
      </c>
      <c r="H34" s="28">
        <f>_xlfn.BITOR(G33,G34)</f>
        <v>0</v>
      </c>
      <c r="I34" s="28">
        <f>_xlfn.BITOR(H32,H34)</f>
        <v>3707764736</v>
      </c>
      <c r="J34" s="28"/>
      <c r="K34" s="28"/>
    </row>
    <row r="35" spans="2:11" ht="21" x14ac:dyDescent="0.35">
      <c r="B35" s="30" t="s">
        <v>29</v>
      </c>
      <c r="C35" s="45" t="s">
        <v>61</v>
      </c>
      <c r="D35" s="20">
        <f>HEX2DEC(C35)</f>
        <v>1073792036</v>
      </c>
      <c r="E35" s="42" t="str">
        <f>IF(D35=1073800220,"UART1 RxData","")</f>
        <v/>
      </c>
      <c r="G35" s="28">
        <f>_xlfn.BITOR(_xlfn.BITLSHIFT(C42,3),_xlfn.BITLSHIFT(C43,0))</f>
        <v>1</v>
      </c>
      <c r="H35" s="28"/>
      <c r="I35" s="28"/>
      <c r="J35" s="28">
        <f>_xlfn.BITOR(I34,G35)</f>
        <v>3707764737</v>
      </c>
      <c r="K35" s="28"/>
    </row>
    <row r="36" spans="2:11" ht="21" x14ac:dyDescent="0.35">
      <c r="B36" s="32" t="s">
        <v>30</v>
      </c>
      <c r="C36" s="44" t="str">
        <f>DEC2HEX(D36)</f>
        <v>4000C424</v>
      </c>
      <c r="D36" s="20">
        <f>D35+(C34*J37)</f>
        <v>1073792036</v>
      </c>
      <c r="E36" s="36"/>
      <c r="G36" s="28"/>
      <c r="H36" s="28"/>
      <c r="I36" s="28"/>
      <c r="J36" s="28" t="str">
        <f>DEC2HEX(J35)</f>
        <v>DD000001</v>
      </c>
      <c r="K36" s="28"/>
    </row>
    <row r="37" spans="2:11" ht="21" x14ac:dyDescent="0.35">
      <c r="B37" s="33" t="s">
        <v>31</v>
      </c>
      <c r="C37" s="41">
        <v>3</v>
      </c>
      <c r="D37" s="25" t="str">
        <f>IF(C38&gt;C37,"src_inc mus be greater than or equal to src_size",IF(C37&gt;3,"src_inc too big",""))</f>
        <v/>
      </c>
      <c r="E37" s="34" t="str">
        <f>IF(C37=0,"Byte",IF(C37=1,"HalfWord",IF(C37=2,"Word",IF(C37=3,"No increment",""))))</f>
        <v>No increment</v>
      </c>
      <c r="G37" s="28"/>
      <c r="H37" s="28"/>
      <c r="I37" s="28"/>
      <c r="J37" s="28">
        <f>IF(C37=0,1,IF(C37=1,2,IF(C37=2,4,0)))</f>
        <v>0</v>
      </c>
      <c r="K37" s="28"/>
    </row>
    <row r="38" spans="2:11" ht="23.25" x14ac:dyDescent="0.35">
      <c r="B38" s="33" t="s">
        <v>32</v>
      </c>
      <c r="C38" s="41">
        <v>1</v>
      </c>
      <c r="D38" s="26" t="str">
        <f>IF(C38&gt;2, "src_size too big","")</f>
        <v/>
      </c>
      <c r="E38" s="34" t="str">
        <f>IF(C38=0,"Byte",IF(C38=1,"HalfWord",IF(C38=2,"Word",IF(C38=3,"No increment",""))))</f>
        <v>HalfWord</v>
      </c>
      <c r="G38" s="28"/>
      <c r="H38" s="28"/>
      <c r="I38" s="28"/>
      <c r="J38" s="28"/>
      <c r="K38" s="28"/>
    </row>
    <row r="39" spans="2:11" ht="21" x14ac:dyDescent="0.35">
      <c r="B39" s="33" t="s">
        <v>33</v>
      </c>
      <c r="C39" s="41">
        <v>0</v>
      </c>
      <c r="D39" s="47" t="str">
        <f>IF(C39&gt;1,"Too big value","")</f>
        <v/>
      </c>
      <c r="E39" s="31" t="str">
        <f>IF(C39=0,"Access Non Priviledged",IF(C39=1,"Access Priviledged","Must be 0 or 1"))</f>
        <v>Access Non Priviledged</v>
      </c>
      <c r="G39" s="28"/>
      <c r="H39" s="28"/>
      <c r="I39" s="28"/>
      <c r="J39" s="28"/>
      <c r="K39" s="28"/>
    </row>
    <row r="40" spans="2:11" ht="21" x14ac:dyDescent="0.35">
      <c r="B40" s="37" t="s">
        <v>34</v>
      </c>
      <c r="C40" s="41">
        <v>0</v>
      </c>
      <c r="D40" s="47" t="str">
        <f>IF(C40&gt;1,"Too big value","")</f>
        <v/>
      </c>
      <c r="E40" s="31" t="str">
        <f>IF(C40=0,"Access Non Priviledged",IF(C40=1,"Access Priviledged","Must be 0 or 1"))</f>
        <v>Access Non Priviledged</v>
      </c>
      <c r="G40" s="28"/>
      <c r="H40" s="28"/>
      <c r="I40" s="28"/>
      <c r="J40" s="28"/>
      <c r="K40" s="28"/>
    </row>
    <row r="41" spans="2:11" ht="42" x14ac:dyDescent="0.35">
      <c r="B41" s="33" t="s">
        <v>35</v>
      </c>
      <c r="C41" s="41">
        <v>0</v>
      </c>
      <c r="D41" s="47" t="str">
        <f>IF(C41&gt;15,"Value too big","")</f>
        <v/>
      </c>
      <c r="E41" s="38" t="str">
        <f>CONCATENATE("Arbitrate after ",G41," transfers")</f>
        <v>Arbitrate after 1 transfers</v>
      </c>
      <c r="F41" s="9"/>
      <c r="G41" s="28">
        <f>2^C41</f>
        <v>1</v>
      </c>
      <c r="H41" s="28"/>
      <c r="I41" s="28"/>
      <c r="J41" s="28"/>
      <c r="K41" s="28"/>
    </row>
    <row r="42" spans="2:11" ht="21" x14ac:dyDescent="0.35">
      <c r="B42" s="37" t="s">
        <v>36</v>
      </c>
      <c r="C42" s="41">
        <v>0</v>
      </c>
      <c r="D42" s="47" t="str">
        <f>IF(C42&gt;1,"Too big value","")</f>
        <v/>
      </c>
      <c r="E42" s="31"/>
      <c r="G42" s="28"/>
      <c r="H42" s="28"/>
      <c r="I42" s="28"/>
      <c r="J42" s="28"/>
      <c r="K42" s="28"/>
    </row>
    <row r="43" spans="2:11" ht="21" x14ac:dyDescent="0.35">
      <c r="B43" s="52" t="s">
        <v>37</v>
      </c>
      <c r="C43" s="41">
        <v>1</v>
      </c>
      <c r="D43" s="47" t="str">
        <f>IF(C43&gt;7,"Too big value","")</f>
        <v/>
      </c>
      <c r="E43" s="39" t="str">
        <f>IF(C43=0,"Invalid/Stop",IF(C43=1,"Basic cycle",IF(C43=2,"Auto-request cycle",IF(C43=3,"Ping-pong",IF(C43=4,"Memory scatter/gather","")))))</f>
        <v>Basic cycle</v>
      </c>
    </row>
    <row r="44" spans="2:11" x14ac:dyDescent="0.25">
      <c r="B44" s="49" t="s">
        <v>38</v>
      </c>
      <c r="C44" s="49" t="s">
        <v>39</v>
      </c>
      <c r="D44" s="49" t="str">
        <f>CONCATENATE("0x",C36)</f>
        <v>0x4000C424</v>
      </c>
    </row>
    <row r="45" spans="2:11" x14ac:dyDescent="0.25">
      <c r="B45" s="49" t="s">
        <v>40</v>
      </c>
      <c r="C45" s="49" t="s">
        <v>41</v>
      </c>
      <c r="D45" s="50" t="str">
        <f>CONCATENATE("0x",C30)</f>
        <v>0x0</v>
      </c>
    </row>
    <row r="46" spans="2:11" x14ac:dyDescent="0.25">
      <c r="B46" s="49" t="s">
        <v>42</v>
      </c>
      <c r="C46" s="49" t="s">
        <v>43</v>
      </c>
      <c r="D46" s="51" t="str">
        <f>CONCATENATE("0x",J36)</f>
        <v>0xDD000001</v>
      </c>
    </row>
    <row r="47" spans="2:11" x14ac:dyDescent="0.25">
      <c r="B47" s="49" t="s">
        <v>44</v>
      </c>
      <c r="C47" s="49" t="s">
        <v>45</v>
      </c>
      <c r="D47" s="49"/>
    </row>
  </sheetData>
  <mergeCells count="4">
    <mergeCell ref="B2:C2"/>
    <mergeCell ref="B8:C8"/>
    <mergeCell ref="B28:D28"/>
    <mergeCell ref="E8:F8"/>
  </mergeCells>
  <pageMargins left="0.70000000000000007" right="0.70000000000000007" top="0.75" bottom="0.75" header="0.30000000000000004" footer="0.30000000000000004"/>
  <pageSetup paperSize="9" fitToWidth="0" fitToHeight="0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1"/>
  <sheetViews>
    <sheetView topLeftCell="C1" workbookViewId="0">
      <selection activeCell="M7" sqref="M7"/>
    </sheetView>
  </sheetViews>
  <sheetFormatPr defaultRowHeight="15" x14ac:dyDescent="0.25"/>
  <cols>
    <col min="1" max="1" width="0" hidden="1" customWidth="1"/>
    <col min="2" max="2" width="10" hidden="1" customWidth="1"/>
    <col min="3" max="3" width="21.7109375" customWidth="1"/>
    <col min="4" max="4" width="27.140625" customWidth="1"/>
    <col min="5" max="5" width="24.7109375" customWidth="1"/>
    <col min="6" max="6" width="9.140625" customWidth="1"/>
    <col min="7" max="7" width="16.7109375" bestFit="1" customWidth="1"/>
    <col min="9" max="9" width="16.7109375" bestFit="1" customWidth="1"/>
    <col min="11" max="11" width="17.42578125" bestFit="1" customWidth="1"/>
    <col min="13" max="13" width="17.42578125" bestFit="1" customWidth="1"/>
  </cols>
  <sheetData>
    <row r="1" spans="1:13" x14ac:dyDescent="0.25">
      <c r="C1" s="1"/>
      <c r="D1" s="1"/>
    </row>
    <row r="2" spans="1:13" x14ac:dyDescent="0.25">
      <c r="C2" s="1"/>
      <c r="D2" s="1"/>
    </row>
    <row r="3" spans="1:13" x14ac:dyDescent="0.25">
      <c r="C3" s="1"/>
      <c r="D3" s="1"/>
    </row>
    <row r="4" spans="1:13" ht="15.75" thickBot="1" x14ac:dyDescent="0.3">
      <c r="A4">
        <v>20000000</v>
      </c>
      <c r="B4">
        <f>HEX2DEC(A4)</f>
        <v>536870912</v>
      </c>
      <c r="C4" s="1"/>
      <c r="D4" s="1"/>
    </row>
    <row r="5" spans="1:13" ht="15.75" thickBot="1" x14ac:dyDescent="0.3">
      <c r="C5" s="1"/>
      <c r="D5" s="74" t="s">
        <v>51</v>
      </c>
      <c r="E5" s="75" t="s">
        <v>47</v>
      </c>
      <c r="F5" s="76" t="s">
        <v>54</v>
      </c>
      <c r="G5" s="76"/>
      <c r="H5" s="76" t="s">
        <v>57</v>
      </c>
      <c r="I5" s="76"/>
      <c r="J5" s="76" t="s">
        <v>59</v>
      </c>
      <c r="K5" s="81"/>
      <c r="L5" s="84" t="s">
        <v>62</v>
      </c>
      <c r="M5" s="85"/>
    </row>
    <row r="6" spans="1:13" ht="15.75" thickBot="1" x14ac:dyDescent="0.3">
      <c r="A6">
        <f>A4+4</f>
        <v>20000004</v>
      </c>
      <c r="B6">
        <f>HEX2DEC(A6)</f>
        <v>536870916</v>
      </c>
      <c r="C6" s="1"/>
      <c r="D6" s="77"/>
      <c r="E6" s="78"/>
      <c r="F6" s="79" t="s">
        <v>55</v>
      </c>
      <c r="G6" s="79" t="s">
        <v>56</v>
      </c>
      <c r="H6" s="79" t="s">
        <v>55</v>
      </c>
      <c r="I6" s="79" t="s">
        <v>56</v>
      </c>
      <c r="J6" s="80" t="s">
        <v>55</v>
      </c>
      <c r="K6" s="82" t="s">
        <v>60</v>
      </c>
      <c r="L6" s="86" t="s">
        <v>55</v>
      </c>
      <c r="M6" s="87" t="s">
        <v>60</v>
      </c>
    </row>
    <row r="7" spans="1:13" x14ac:dyDescent="0.25">
      <c r="A7">
        <f>A6+4</f>
        <v>20000008</v>
      </c>
      <c r="B7">
        <f>HEX2DEC(A7)</f>
        <v>536870920</v>
      </c>
      <c r="C7" s="1"/>
      <c r="D7" s="69" t="s">
        <v>52</v>
      </c>
      <c r="E7" s="70" t="s">
        <v>53</v>
      </c>
      <c r="F7" s="71">
        <v>34</v>
      </c>
      <c r="G7" s="71" t="str">
        <f>DEC2HEX(HEX2DEC($E7)+HEX2DEC($F7))</f>
        <v>4000C434</v>
      </c>
      <c r="H7" s="72" t="s">
        <v>58</v>
      </c>
      <c r="I7" s="72" t="str">
        <f>DEC2HEX(HEX2DEC($E7)+HEX2DEC($H7))</f>
        <v>4000C41C</v>
      </c>
      <c r="J7" s="73">
        <v>48</v>
      </c>
      <c r="K7" s="83" t="str">
        <f>DEC2HEX(HEX2DEC($E7)+HEX2DEC(J7))</f>
        <v>4000C448</v>
      </c>
      <c r="L7" s="73">
        <v>24</v>
      </c>
      <c r="M7" s="73" t="s">
        <v>61</v>
      </c>
    </row>
    <row r="8" spans="1:13" x14ac:dyDescent="0.25">
      <c r="A8" t="s">
        <v>46</v>
      </c>
      <c r="B8">
        <f>HEX2DEC(A8)</f>
        <v>536870924</v>
      </c>
      <c r="C8" s="1"/>
      <c r="D8" s="1"/>
    </row>
    <row r="9" spans="1:13" x14ac:dyDescent="0.25">
      <c r="C9" s="1"/>
      <c r="D9" s="1"/>
    </row>
    <row r="10" spans="1:13" x14ac:dyDescent="0.25">
      <c r="C10" s="1"/>
      <c r="D10" s="1"/>
    </row>
    <row r="11" spans="1:13" x14ac:dyDescent="0.25">
      <c r="C11" s="1"/>
      <c r="D11" s="1"/>
    </row>
  </sheetData>
  <mergeCells count="6">
    <mergeCell ref="L5:M5"/>
    <mergeCell ref="F5:G5"/>
    <mergeCell ref="E5:E6"/>
    <mergeCell ref="D5:D6"/>
    <mergeCell ref="H5:I5"/>
    <mergeCell ref="J5:K5"/>
  </mergeCells>
  <pageMargins left="0.70000000000000007" right="0.70000000000000007" top="0.75" bottom="0.75" header="0.30000000000000004" footer="0.30000000000000004"/>
  <pageSetup paperSize="9" fitToWidth="0" fitToHeight="0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Radoslav Marinov</dc:creator>
  <cp:lastModifiedBy>Radoslav Marinov</cp:lastModifiedBy>
  <dcterms:created xsi:type="dcterms:W3CDTF">2016-04-14T09:23:49Z</dcterms:created>
  <dcterms:modified xsi:type="dcterms:W3CDTF">2016-08-25T11:45:23Z</dcterms:modified>
</cp:coreProperties>
</file>