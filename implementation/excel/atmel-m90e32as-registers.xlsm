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7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mrd001\git\c-framework\implementation\excel\"/>
    </mc:Choice>
  </mc:AlternateContent>
  <bookViews>
    <workbookView xWindow="0" yWindow="0" windowWidth="14895" windowHeight="7965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2" i="1" l="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" i="2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H30" i="1" l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</calcChain>
</file>

<file path=xl/comments1.xml><?xml version="1.0" encoding="utf-8"?>
<comments xmlns="http://schemas.openxmlformats.org/spreadsheetml/2006/main">
  <authors>
    <author>Radoslav Marinov</author>
  </authors>
  <commentList>
    <comment ref="G96" authorId="0" shapeId="0">
      <text>
        <r>
          <rPr>
            <b/>
            <sz val="9"/>
            <color indexed="81"/>
            <rFont val="Tahoma"/>
            <charset val="1"/>
          </rPr>
          <t>Radoslav Marinov:</t>
        </r>
        <r>
          <rPr>
            <sz val="9"/>
            <color indexed="81"/>
            <rFont val="Tahoma"/>
            <charset val="1"/>
          </rPr>
          <t xml:space="preserve">
It seems that 'p' stands for positive, while postives carry semantics of Forward
</t>
        </r>
      </text>
    </comment>
  </commentList>
</comments>
</file>

<file path=xl/sharedStrings.xml><?xml version="1.0" encoding="utf-8"?>
<sst xmlns="http://schemas.openxmlformats.org/spreadsheetml/2006/main" count="1129" uniqueCount="928">
  <si>
    <t>00H</t>
  </si>
  <si>
    <t>MeterEn</t>
  </si>
  <si>
    <t>01H</t>
  </si>
  <si>
    <t>02H</t>
  </si>
  <si>
    <t>ChannelMapU</t>
  </si>
  <si>
    <t>05H</t>
  </si>
  <si>
    <t>06H</t>
  </si>
  <si>
    <t>OVth</t>
  </si>
  <si>
    <t>07H</t>
  </si>
  <si>
    <t>ZXConfig</t>
  </si>
  <si>
    <t>08H</t>
  </si>
  <si>
    <t>SagTh</t>
  </si>
  <si>
    <t>09H</t>
  </si>
  <si>
    <t>PhaseLossTh</t>
  </si>
  <si>
    <t>0AH</t>
  </si>
  <si>
    <t>InWarnTh</t>
  </si>
  <si>
    <t>0BH</t>
  </si>
  <si>
    <t>OIth</t>
  </si>
  <si>
    <t>0CH</t>
  </si>
  <si>
    <t>FreqLoTh</t>
  </si>
  <si>
    <t>0DH</t>
  </si>
  <si>
    <t>FreqHiTh</t>
  </si>
  <si>
    <t>0EH</t>
  </si>
  <si>
    <t>PMPwrCtrl</t>
  </si>
  <si>
    <t>0FH</t>
  </si>
  <si>
    <t>10H</t>
  </si>
  <si>
    <t>DetectCtrl</t>
  </si>
  <si>
    <t>11H</t>
  </si>
  <si>
    <t>DetectTh1</t>
  </si>
  <si>
    <t>12H</t>
  </si>
  <si>
    <t>DetectTh2</t>
  </si>
  <si>
    <t>13H</t>
  </si>
  <si>
    <t>DetectTh3</t>
  </si>
  <si>
    <t>14H</t>
  </si>
  <si>
    <t>IDCoffsetA</t>
  </si>
  <si>
    <t>15H</t>
  </si>
  <si>
    <t>IDCoffsetB</t>
  </si>
  <si>
    <t>16H</t>
  </si>
  <si>
    <t>IDCoffsetC</t>
  </si>
  <si>
    <t>17H</t>
  </si>
  <si>
    <t>UDCoffsetA</t>
  </si>
  <si>
    <t>18H</t>
  </si>
  <si>
    <t>UDCoffsetB</t>
  </si>
  <si>
    <t>19H</t>
  </si>
  <si>
    <t>UDCoffsetC</t>
  </si>
  <si>
    <t>1AH</t>
  </si>
  <si>
    <t>UGainTAB</t>
  </si>
  <si>
    <t>1BH</t>
  </si>
  <si>
    <t>UGainTC</t>
  </si>
  <si>
    <t>1CH</t>
  </si>
  <si>
    <t>PhiFreqComp</t>
  </si>
  <si>
    <t>20H</t>
  </si>
  <si>
    <t>LOGIrms0</t>
  </si>
  <si>
    <t>21H</t>
  </si>
  <si>
    <t>LOGIrms1</t>
  </si>
  <si>
    <t>R/W</t>
  </si>
  <si>
    <t>ChannelMap</t>
  </si>
  <si>
    <t>SagPeakDetC</t>
  </si>
  <si>
    <t>IRQ0MergeCf</t>
  </si>
  <si>
    <t>Metering Enable</t>
  </si>
  <si>
    <t>Current Channel Mapping Configuration</t>
  </si>
  <si>
    <t>Voltage Channel Mapping Configuration</t>
  </si>
  <si>
    <t>Sag and Peak Detector Period Configuration</t>
  </si>
  <si>
    <t>Over Voltage Threshold</t>
  </si>
  <si>
    <t>Zero-Crossing Configuration</t>
  </si>
  <si>
    <t>Voltage Sag Threshold</t>
  </si>
  <si>
    <t>Voltage Phase Losing Threshold</t>
  </si>
  <si>
    <t>Over Current Threshold</t>
  </si>
  <si>
    <t>Low Threshold for Frequency Detection</t>
  </si>
  <si>
    <t>High Threshold for Frequency Detection</t>
  </si>
  <si>
    <t>Partial Measurement Mode Power Control</t>
  </si>
  <si>
    <t>IRQ0 Merge Configuration</t>
  </si>
  <si>
    <t>Neutral Current (Calculated) Warning Threshold</t>
  </si>
  <si>
    <t>Current Detect Control</t>
  </si>
  <si>
    <t>Phase A Current DC offset</t>
  </si>
  <si>
    <t>Phase B Current DC offset</t>
  </si>
  <si>
    <t>Phase C Current DC offset</t>
  </si>
  <si>
    <t>Voltage DC offset for Channel A</t>
  </si>
  <si>
    <t>Voltage DC offset for Channel B</t>
  </si>
  <si>
    <t>Voltage DC offset for Channel C</t>
  </si>
  <si>
    <t>Phase Compensation for Frequency</t>
  </si>
  <si>
    <t>Channel 1 Current Threshold in Detection Mode</t>
  </si>
  <si>
    <t>Channel 2 Current Threshold in Detection Mode</t>
  </si>
  <si>
    <t>Channel 3 Current Threshold in Detection Mode</t>
  </si>
  <si>
    <t>Voltage Gain Temperature Compensation for Phase A/B</t>
  </si>
  <si>
    <t>Voltage Gain Temperature Compensation for Phase C</t>
  </si>
  <si>
    <t>Current (Log Irms0) Configuration for Segment Compensation</t>
  </si>
  <si>
    <t>Current (Log Irms1) Configuration for Segment Compensation</t>
  </si>
  <si>
    <t>&lt;root&gt;</t>
  </si>
  <si>
    <t>designator</t>
  </si>
  <si>
    <t>Meter.En</t>
  </si>
  <si>
    <t>Channel.Map</t>
  </si>
  <si>
    <t>Channel.Map.U</t>
  </si>
  <si>
    <t>Sag.Peak.Det.C</t>
  </si>
  <si>
    <t>O.V.th</t>
  </si>
  <si>
    <t>Z.X.Config</t>
  </si>
  <si>
    <t>Sag.Th</t>
  </si>
  <si>
    <t>Phase.Loss.Th</t>
  </si>
  <si>
    <t>In.Warn.Th</t>
  </si>
  <si>
    <t>O.I.th</t>
  </si>
  <si>
    <t>Freq.Lo.Th</t>
  </si>
  <si>
    <t>Freq.Hi.Th</t>
  </si>
  <si>
    <t>P.M.Pwr.Ctrl</t>
  </si>
  <si>
    <t>IRQ0.Merge.Cf</t>
  </si>
  <si>
    <t>Detect.Ctr.l</t>
  </si>
  <si>
    <t>I.DC.offset.A</t>
  </si>
  <si>
    <t>I.DC.offset.B</t>
  </si>
  <si>
    <t>I.DC.offset.C</t>
  </si>
  <si>
    <t>UDC.offset.A</t>
  </si>
  <si>
    <t>U.DC.offset.B</t>
  </si>
  <si>
    <t>U.DC.offset.C</t>
  </si>
  <si>
    <t>U.Gain.T.AB</t>
  </si>
  <si>
    <t>U.Gain.T.C</t>
  </si>
  <si>
    <t>Phi.Freq.Comp</t>
  </si>
  <si>
    <t>LOG.I.rms1</t>
  </si>
  <si>
    <t>LOG.I.rms0</t>
  </si>
  <si>
    <t>Detect.Th1</t>
  </si>
  <si>
    <t>Detect.Th2</t>
  </si>
  <si>
    <t>Detect.Th3</t>
  </si>
  <si>
    <t>intermediate data</t>
  </si>
  <si>
    <t>description</t>
  </si>
  <si>
    <t>type</t>
  </si>
  <si>
    <t>name</t>
  </si>
  <si>
    <t>address</t>
  </si>
  <si>
    <t>22H</t>
  </si>
  <si>
    <t>23H</t>
  </si>
  <si>
    <t>24H</t>
  </si>
  <si>
    <t>25H</t>
  </si>
  <si>
    <t>26H</t>
  </si>
  <si>
    <t>27H</t>
  </si>
  <si>
    <t>28H</t>
  </si>
  <si>
    <t>29H</t>
  </si>
  <si>
    <t>2AH</t>
  </si>
  <si>
    <t>2BH</t>
  </si>
  <si>
    <t>2CH</t>
  </si>
  <si>
    <t>2DH</t>
  </si>
  <si>
    <t>2EH</t>
  </si>
  <si>
    <t>2FH</t>
  </si>
  <si>
    <t>31H</t>
  </si>
  <si>
    <t>32H</t>
  </si>
  <si>
    <t>33H</t>
  </si>
  <si>
    <t>34H</t>
  </si>
  <si>
    <t>35H</t>
  </si>
  <si>
    <t>36H</t>
  </si>
  <si>
    <t>37H</t>
  </si>
  <si>
    <t>38H</t>
  </si>
  <si>
    <t>39H</t>
  </si>
  <si>
    <t>3AH</t>
  </si>
  <si>
    <t>F0</t>
  </si>
  <si>
    <t>T0</t>
  </si>
  <si>
    <t>PhiAIrms01</t>
  </si>
  <si>
    <t>PhiAIrms2</t>
  </si>
  <si>
    <t>GainAIrms01</t>
  </si>
  <si>
    <t>GainAIrms2</t>
  </si>
  <si>
    <t>PhiBIrms01</t>
  </si>
  <si>
    <t>PhiBIrms2</t>
  </si>
  <si>
    <t>GainBIrms01</t>
  </si>
  <si>
    <t>GainBIrms2</t>
  </si>
  <si>
    <t>PhiCIrms01</t>
  </si>
  <si>
    <t>PhiCIrms2</t>
  </si>
  <si>
    <t>GainCIrms01</t>
  </si>
  <si>
    <t>GainCIrms2</t>
  </si>
  <si>
    <t>PLconstH</t>
  </si>
  <si>
    <t>PLconstL</t>
  </si>
  <si>
    <t>MMode0</t>
  </si>
  <si>
    <t>MMode1</t>
  </si>
  <si>
    <t>PStartTh</t>
  </si>
  <si>
    <t>QStartTh</t>
  </si>
  <si>
    <t>SStartTh</t>
  </si>
  <si>
    <t>PPhaseTh</t>
  </si>
  <si>
    <t>QPhaseTh</t>
  </si>
  <si>
    <t>SPhaseTh</t>
  </si>
  <si>
    <t>Nominal Frequency</t>
  </si>
  <si>
    <t>Nominal Temperature</t>
  </si>
  <si>
    <t>Phase A Phase Compensation for Current Segment 0 and 1</t>
  </si>
  <si>
    <t>Phase A Phase Compensation for Current Segment 2</t>
  </si>
  <si>
    <t>Phase A Gain Compensation for Current Segment 0 and 1</t>
  </si>
  <si>
    <t>Phase A Gain Compensation for Current Segment 2</t>
  </si>
  <si>
    <t>Phase B Phase Compensation for Current Segment 0 and 1</t>
  </si>
  <si>
    <t>Phase B Phase Compensation for Current Segment 2</t>
  </si>
  <si>
    <t>Phase B Gain Compensation for Current Segment 0 and 1</t>
  </si>
  <si>
    <t>Phase B Gain Compensation for Current Segment 2</t>
  </si>
  <si>
    <t>Phase C Phase Compensation for Current Segment 0 and 1</t>
  </si>
  <si>
    <t>Phase C Phase Compensation for Current Segment 2</t>
  </si>
  <si>
    <t>Phase C Gain Compensation for Current Segment 0 and 1</t>
  </si>
  <si>
    <t>Phase C Gain Compensation for Current Segment 2</t>
  </si>
  <si>
    <t>High Word of PL_Constant</t>
  </si>
  <si>
    <t>Low Word of PL_Constant</t>
  </si>
  <si>
    <t>Metering Method Configuration</t>
  </si>
  <si>
    <t>PGA Gain Configuration</t>
  </si>
  <si>
    <t>Active Startup Power Threshold</t>
  </si>
  <si>
    <t>Reactive Startup Power Threshold</t>
  </si>
  <si>
    <t>Apparent Startup Power Threshold</t>
  </si>
  <si>
    <t>Startup Power Threshold for Any Phase (Active Energy Accumulation)</t>
  </si>
  <si>
    <t>Startup Power Threshold for Any Phase (ReActive Energy Accumulation)</t>
  </si>
  <si>
    <t>Startup Power Threshold for Any Phase (Apparent Energy Accumulation)</t>
  </si>
  <si>
    <t>41H</t>
  </si>
  <si>
    <t>PoffsetA</t>
  </si>
  <si>
    <t>42H</t>
  </si>
  <si>
    <t>QoffsetA</t>
  </si>
  <si>
    <t>43H</t>
  </si>
  <si>
    <t>PoffsetB</t>
  </si>
  <si>
    <t>44H</t>
  </si>
  <si>
    <t>QoffsetB</t>
  </si>
  <si>
    <t>45H</t>
  </si>
  <si>
    <t>PoffsetC</t>
  </si>
  <si>
    <t>46H</t>
  </si>
  <si>
    <t>QoffsetC</t>
  </si>
  <si>
    <t>47H</t>
  </si>
  <si>
    <t>PQGainA</t>
  </si>
  <si>
    <t>48H</t>
  </si>
  <si>
    <t>PhiA</t>
  </si>
  <si>
    <t>49H</t>
  </si>
  <si>
    <t>PQGainB</t>
  </si>
  <si>
    <t>4AH</t>
  </si>
  <si>
    <t>PhiB</t>
  </si>
  <si>
    <t>4BH</t>
  </si>
  <si>
    <t>PQGainC</t>
  </si>
  <si>
    <t>4CH</t>
  </si>
  <si>
    <t>PhiC</t>
  </si>
  <si>
    <t>51H</t>
  </si>
  <si>
    <t>PoffsetAF</t>
  </si>
  <si>
    <t>52H</t>
  </si>
  <si>
    <t>PoffsetBF</t>
  </si>
  <si>
    <t>53H</t>
  </si>
  <si>
    <t>PoffsetCF</t>
  </si>
  <si>
    <t>54H</t>
  </si>
  <si>
    <t>PGainAF</t>
  </si>
  <si>
    <t>55H</t>
  </si>
  <si>
    <t>PGainBF</t>
  </si>
  <si>
    <t>56H</t>
  </si>
  <si>
    <t>PGainCF</t>
  </si>
  <si>
    <t>61H</t>
  </si>
  <si>
    <t>UgainA</t>
  </si>
  <si>
    <t>62H</t>
  </si>
  <si>
    <t>IgainA</t>
  </si>
  <si>
    <t>63H</t>
  </si>
  <si>
    <t>UoffsetA</t>
  </si>
  <si>
    <t>64H</t>
  </si>
  <si>
    <t>IoffsetA</t>
  </si>
  <si>
    <t>65H</t>
  </si>
  <si>
    <t>UgainB</t>
  </si>
  <si>
    <t>66H</t>
  </si>
  <si>
    <t>IgainB</t>
  </si>
  <si>
    <t>67H</t>
  </si>
  <si>
    <t>UoffsetB</t>
  </si>
  <si>
    <t>68H</t>
  </si>
  <si>
    <t>IoffsetB</t>
  </si>
  <si>
    <t>69H</t>
  </si>
  <si>
    <t>UgainC</t>
  </si>
  <si>
    <t>6AH</t>
  </si>
  <si>
    <t>IgainC</t>
  </si>
  <si>
    <t>6BH</t>
  </si>
  <si>
    <t>UoffsetC</t>
  </si>
  <si>
    <t>6CH</t>
  </si>
  <si>
    <t>IoffsetC</t>
  </si>
  <si>
    <t>Phase A Active Power offset</t>
  </si>
  <si>
    <t>Phase A Reactive Power offset</t>
  </si>
  <si>
    <t>Phase B Active Power offset</t>
  </si>
  <si>
    <t>Phase B Reactive Power offset</t>
  </si>
  <si>
    <t>Phase C Active Power offset</t>
  </si>
  <si>
    <t>Phase C Reactive Power offset</t>
  </si>
  <si>
    <t>Phase A Calibration Gain</t>
  </si>
  <si>
    <t>Phase A Calibration Phase Angle</t>
  </si>
  <si>
    <t>Phase B Calibration Gain</t>
  </si>
  <si>
    <t>Phase B Calibration Phase Angle</t>
  </si>
  <si>
    <t>Phase C Calibration Gain</t>
  </si>
  <si>
    <t>Phase C Calibration Phase Angle</t>
  </si>
  <si>
    <t>Phase A Fundamental Active Power offset</t>
  </si>
  <si>
    <t>Phase B Fundamental Active Power offset</t>
  </si>
  <si>
    <t>Phase C Fundamental Active Power offset</t>
  </si>
  <si>
    <t>Phase A Fundamental Calibration Gain</t>
  </si>
  <si>
    <t>Phase B Fundamental Calibration Gain</t>
  </si>
  <si>
    <t>Phase C Fundamental Calibration Gain</t>
  </si>
  <si>
    <t>Phase A Voltage RMS Gain</t>
  </si>
  <si>
    <t>Phase A Current RMS Gain</t>
  </si>
  <si>
    <t>Phase A Voltage RMS offset</t>
  </si>
  <si>
    <t>Phase A Current RMS offset</t>
  </si>
  <si>
    <t>Phase B Voltage RMS Gain</t>
  </si>
  <si>
    <t>Phase B Current RMS Gain</t>
  </si>
  <si>
    <t>Phase B Voltage RMS offset</t>
  </si>
  <si>
    <t>Phase B Current RMS offset</t>
  </si>
  <si>
    <t>Phase C Voltage RMS Gain</t>
  </si>
  <si>
    <t>Phase C Current RMS Gain</t>
  </si>
  <si>
    <t>Phase C Voltage RMS offset</t>
  </si>
  <si>
    <t>Phase C Current RMS offset</t>
  </si>
  <si>
    <t>70H</t>
  </si>
  <si>
    <t>SoftReset</t>
  </si>
  <si>
    <t>71H</t>
  </si>
  <si>
    <t>EMMState0</t>
  </si>
  <si>
    <t>R</t>
  </si>
  <si>
    <t>72H</t>
  </si>
  <si>
    <t>EMMState1</t>
  </si>
  <si>
    <t>73H</t>
  </si>
  <si>
    <t>EMMIntState0</t>
  </si>
  <si>
    <t>R/W1C</t>
  </si>
  <si>
    <t>74H</t>
  </si>
  <si>
    <t>EMMIntState1</t>
  </si>
  <si>
    <t>75H</t>
  </si>
  <si>
    <t>EMMIntEn0</t>
  </si>
  <si>
    <t>76H</t>
  </si>
  <si>
    <t>EMMIntEn1</t>
  </si>
  <si>
    <t>78H</t>
  </si>
  <si>
    <t>LastSPIData</t>
  </si>
  <si>
    <t>79H</t>
  </si>
  <si>
    <t>CRCErrStatus</t>
  </si>
  <si>
    <t>7AH</t>
  </si>
  <si>
    <t>CRCDigest</t>
  </si>
  <si>
    <t>7FH</t>
  </si>
  <si>
    <t>CfgRegAccEn</t>
  </si>
  <si>
    <t>Software Reset</t>
  </si>
  <si>
    <t>EMM State 0</t>
  </si>
  <si>
    <t>EMM State 1</t>
  </si>
  <si>
    <t>EMM Interrupt Status 0</t>
  </si>
  <si>
    <t>EMM Interrupt Status 1</t>
  </si>
  <si>
    <t>EMM Interrupt Enable 0</t>
  </si>
  <si>
    <t>EMM Interrupt Enable 1</t>
  </si>
  <si>
    <t>Last Read/Write SPI Value</t>
  </si>
  <si>
    <t>CRC Error Status</t>
  </si>
  <si>
    <t>CRC Digest</t>
  </si>
  <si>
    <t>Configure Register Access Enable</t>
  </si>
  <si>
    <t>80H</t>
  </si>
  <si>
    <t>APenergyT</t>
  </si>
  <si>
    <t>R/C</t>
  </si>
  <si>
    <t>81H</t>
  </si>
  <si>
    <t>APenergyA</t>
  </si>
  <si>
    <t>82H</t>
  </si>
  <si>
    <t>APenergyB</t>
  </si>
  <si>
    <t>83H</t>
  </si>
  <si>
    <t>APenergyC</t>
  </si>
  <si>
    <t>84H</t>
  </si>
  <si>
    <t>ANenergyT</t>
  </si>
  <si>
    <t>85H</t>
  </si>
  <si>
    <t>ANenergyA</t>
  </si>
  <si>
    <t>86H</t>
  </si>
  <si>
    <t>ANenergyB</t>
  </si>
  <si>
    <t>87H</t>
  </si>
  <si>
    <t>ANenergyC</t>
  </si>
  <si>
    <t>88H</t>
  </si>
  <si>
    <t>RPenergyT</t>
  </si>
  <si>
    <t>89H</t>
  </si>
  <si>
    <t>RPenergyA</t>
  </si>
  <si>
    <t>8AH</t>
  </si>
  <si>
    <t>RPenergyB</t>
  </si>
  <si>
    <t>8BH</t>
  </si>
  <si>
    <t>RPenergyC</t>
  </si>
  <si>
    <t>8CH</t>
  </si>
  <si>
    <t>RNenergyT</t>
  </si>
  <si>
    <t>8DH</t>
  </si>
  <si>
    <t>RNenergyA</t>
  </si>
  <si>
    <t>8EH</t>
  </si>
  <si>
    <t>RNenergyB</t>
  </si>
  <si>
    <t>8FH</t>
  </si>
  <si>
    <t>RNenergyC</t>
  </si>
  <si>
    <t>90H</t>
  </si>
  <si>
    <t>SAenergyT</t>
  </si>
  <si>
    <t>91H</t>
  </si>
  <si>
    <t>SenergyA</t>
  </si>
  <si>
    <t>92H</t>
  </si>
  <si>
    <t>SenergyB</t>
  </si>
  <si>
    <t>93H</t>
  </si>
  <si>
    <t>SenergyC</t>
  </si>
  <si>
    <t>Total Forward Active Energy</t>
  </si>
  <si>
    <t>Phase A Forward Active Energy</t>
  </si>
  <si>
    <t>Phase B Forward Active Energy</t>
  </si>
  <si>
    <t>Phase C Forward Active Energy</t>
  </si>
  <si>
    <t>Total Reverse Active Energy</t>
  </si>
  <si>
    <t>Phase A Reverse Active Energy</t>
  </si>
  <si>
    <t>Phase B Reverse Active Energy</t>
  </si>
  <si>
    <t>Phase C Reverse Active Energy</t>
  </si>
  <si>
    <t>Total Forward Reactive Energy</t>
  </si>
  <si>
    <t>Phase A Forward Reactive Energy</t>
  </si>
  <si>
    <t>Phase B Forward Reactive Energy</t>
  </si>
  <si>
    <t>Phase C Forward Reactive Energy</t>
  </si>
  <si>
    <t>Total Reverse Reactive Energy</t>
  </si>
  <si>
    <t>Phase A Reverse Reactive Energy</t>
  </si>
  <si>
    <t>Phase B Reverse Reactive Energy</t>
  </si>
  <si>
    <t>Phase C Reverse Reactive Energy</t>
  </si>
  <si>
    <t>Total (Arithmetic Sum) Apparent Energy</t>
  </si>
  <si>
    <t>Phase A Apparent Energy</t>
  </si>
  <si>
    <t>Phase B Apparent Energy</t>
  </si>
  <si>
    <t>Phase C Apparent Energy</t>
  </si>
  <si>
    <t>A0H</t>
  </si>
  <si>
    <t>APenergyTF</t>
  </si>
  <si>
    <t>A1H</t>
  </si>
  <si>
    <t>APenergyAF</t>
  </si>
  <si>
    <t>A2H</t>
  </si>
  <si>
    <t>APenergyBF</t>
  </si>
  <si>
    <t>A3H</t>
  </si>
  <si>
    <t>APenergyCF</t>
  </si>
  <si>
    <t>A4H</t>
  </si>
  <si>
    <t>ANenergyTF</t>
  </si>
  <si>
    <t>A5H</t>
  </si>
  <si>
    <t>ANenergyAF</t>
  </si>
  <si>
    <t>A6H</t>
  </si>
  <si>
    <t>ANenergyBF</t>
  </si>
  <si>
    <t>A7H</t>
  </si>
  <si>
    <t>ANenergyCF</t>
  </si>
  <si>
    <t>A8H</t>
  </si>
  <si>
    <t>APenergyTH</t>
  </si>
  <si>
    <t>A9H</t>
  </si>
  <si>
    <t>APenergyAH</t>
  </si>
  <si>
    <t>AAH</t>
  </si>
  <si>
    <t>APenergyBH</t>
  </si>
  <si>
    <t>ABH</t>
  </si>
  <si>
    <t>APenergyCH</t>
  </si>
  <si>
    <t>ACH</t>
  </si>
  <si>
    <t>ANenergyTH</t>
  </si>
  <si>
    <t>ADH</t>
  </si>
  <si>
    <t>ANenergyAH</t>
  </si>
  <si>
    <t>AEH</t>
  </si>
  <si>
    <t>ANenergyBH</t>
  </si>
  <si>
    <t>AFH</t>
  </si>
  <si>
    <t>ANenergyCH</t>
  </si>
  <si>
    <t>Total Forward Active Fundamental Energy</t>
  </si>
  <si>
    <t>Phase A Forward Active Fundamental Energy</t>
  </si>
  <si>
    <t>Phase B Forward Active Fundamental Energy</t>
  </si>
  <si>
    <t>Phase C Forward Active Fundamental Energy</t>
  </si>
  <si>
    <t>Total Reverse Active Fundamental Energy</t>
  </si>
  <si>
    <t>Phase A Reverse Active Fundamental Energy</t>
  </si>
  <si>
    <t>Phase B Reverse Active Fundamental Energy</t>
  </si>
  <si>
    <t>Phase C Reverse Active Fundamental Energy</t>
  </si>
  <si>
    <t>Total Forward Active Harmonic Energy</t>
  </si>
  <si>
    <t>Phase A Forward Active Harmonic Energy</t>
  </si>
  <si>
    <t>Phase B Forward Active Harmonic Energy</t>
  </si>
  <si>
    <t>Phase C Forward Active Harmonic Energy</t>
  </si>
  <si>
    <t>Total Reverse Active Harmonic Energy</t>
  </si>
  <si>
    <t>Phase A Reverse Active Harmonic Energy</t>
  </si>
  <si>
    <t>Phase B Reverse Active Harmonic Energy</t>
  </si>
  <si>
    <t>Phase C Reverse Active Harmonic Energy</t>
  </si>
  <si>
    <t>B0H</t>
  </si>
  <si>
    <t>B1H</t>
  </si>
  <si>
    <t>B2H</t>
  </si>
  <si>
    <t>B3H</t>
  </si>
  <si>
    <t>B4H</t>
  </si>
  <si>
    <t>B5H</t>
  </si>
  <si>
    <t>B6H</t>
  </si>
  <si>
    <t>B7H</t>
  </si>
  <si>
    <t>B8H</t>
  </si>
  <si>
    <t>B9H</t>
  </si>
  <si>
    <t>BAH</t>
  </si>
  <si>
    <t>BBH</t>
  </si>
  <si>
    <t>BCH</t>
  </si>
  <si>
    <t>BDH</t>
  </si>
  <si>
    <t>BEH</t>
  </si>
  <si>
    <t>BFH</t>
  </si>
  <si>
    <t>C0H</t>
  </si>
  <si>
    <t>PmeanTLSB</t>
  </si>
  <si>
    <t>C1H</t>
  </si>
  <si>
    <t>PmeanALSB</t>
  </si>
  <si>
    <t>C2H</t>
  </si>
  <si>
    <t>PmeanBLSB</t>
  </si>
  <si>
    <t>C3H</t>
  </si>
  <si>
    <t>PmeanCLSB</t>
  </si>
  <si>
    <t>C4H</t>
  </si>
  <si>
    <t>QmeanTLSB</t>
  </si>
  <si>
    <t>C5H</t>
  </si>
  <si>
    <t>QmeanALSB</t>
  </si>
  <si>
    <t>C6H</t>
  </si>
  <si>
    <t>QmeanBLSB</t>
  </si>
  <si>
    <t>C7H</t>
  </si>
  <si>
    <t>QmeanCLSB</t>
  </si>
  <si>
    <t>C8H</t>
  </si>
  <si>
    <t>C9H</t>
  </si>
  <si>
    <t>SmeanALSB</t>
  </si>
  <si>
    <t>CAH</t>
  </si>
  <si>
    <t>SmeanBLSB</t>
  </si>
  <si>
    <t>CBH</t>
  </si>
  <si>
    <t>SmeanCLSB</t>
  </si>
  <si>
    <t>PmeanT</t>
  </si>
  <si>
    <t>PmeanA</t>
  </si>
  <si>
    <t>PmeanB</t>
  </si>
  <si>
    <t>PmeanC</t>
  </si>
  <si>
    <t>QmeanT</t>
  </si>
  <si>
    <t>QmeanA</t>
  </si>
  <si>
    <t>QmeanB</t>
  </si>
  <si>
    <t>QmeanC</t>
  </si>
  <si>
    <t>SmeanT</t>
  </si>
  <si>
    <t>SmeanA</t>
  </si>
  <si>
    <t>SmeanB</t>
  </si>
  <si>
    <t>SmeanC</t>
  </si>
  <si>
    <t>PFmeanT</t>
  </si>
  <si>
    <t>PFmeanA</t>
  </si>
  <si>
    <t>PFmeanB</t>
  </si>
  <si>
    <t>PFmeanC</t>
  </si>
  <si>
    <t>SAmeanTLSB</t>
  </si>
  <si>
    <t>Total (all-phase-sum) Active Power</t>
  </si>
  <si>
    <t>Phase A Active Power</t>
  </si>
  <si>
    <t>Phase B Active Power</t>
  </si>
  <si>
    <t>Phase C Active Power</t>
  </si>
  <si>
    <t>Total (all-phase-sum) Reactive Power</t>
  </si>
  <si>
    <t>Phase A Reactive Power</t>
  </si>
  <si>
    <t>Phase B Reactive Power</t>
  </si>
  <si>
    <t>Phase C Reactive Power</t>
  </si>
  <si>
    <t>Total (Arithmetic Sum) Apparent Power</t>
  </si>
  <si>
    <t>Phase A Apparent Power</t>
  </si>
  <si>
    <t>Phase B Apparent Power</t>
  </si>
  <si>
    <t>Phase C Apparent Power</t>
  </si>
  <si>
    <t>Total Power Factor</t>
  </si>
  <si>
    <t>Phase A Power Factor</t>
  </si>
  <si>
    <t>Phase B Power Factor</t>
  </si>
  <si>
    <t>Phase C Power Factor</t>
  </si>
  <si>
    <t>Lower Word of Total (all-phase-sum) ActivePower</t>
  </si>
  <si>
    <t>Lower Word of Phase A Active Power</t>
  </si>
  <si>
    <t>Lower Word of Phase B Active Power</t>
  </si>
  <si>
    <t>Lower Word of Phase C Active Power</t>
  </si>
  <si>
    <t>Lower Word of Total (all-phase-sum) ReactivePower</t>
  </si>
  <si>
    <t>Lower Word of Phase A Reactive Power</t>
  </si>
  <si>
    <t>Lower Word of Phase B Reactive Power</t>
  </si>
  <si>
    <t>Lower Word of Phase C Reactive Power</t>
  </si>
  <si>
    <t>Lower Word of Total (Arithmetic Sum) Apparent Power</t>
  </si>
  <si>
    <t>Lower Word of Phase A Apparent Power</t>
  </si>
  <si>
    <t>Lower Word of Phase B Apparent Power</t>
  </si>
  <si>
    <t>Lower Word of Phase C Apparent Power</t>
  </si>
  <si>
    <t>D0H</t>
  </si>
  <si>
    <t>PmeanTF</t>
  </si>
  <si>
    <t>D1H</t>
  </si>
  <si>
    <t>PmeanAF</t>
  </si>
  <si>
    <t>D2H</t>
  </si>
  <si>
    <t>PmeanBF</t>
  </si>
  <si>
    <t>D3H</t>
  </si>
  <si>
    <t>PmeanCF</t>
  </si>
  <si>
    <t>D4H</t>
  </si>
  <si>
    <t>PmeanTH</t>
  </si>
  <si>
    <t>D5H</t>
  </si>
  <si>
    <t>PmeanAH</t>
  </si>
  <si>
    <t>D6H</t>
  </si>
  <si>
    <t>PmeanBH</t>
  </si>
  <si>
    <t>D7H</t>
  </si>
  <si>
    <t>PmeanCH</t>
  </si>
  <si>
    <t>D9H</t>
  </si>
  <si>
    <t>UrmsA</t>
  </si>
  <si>
    <t>DAH</t>
  </si>
  <si>
    <t>UrmsB</t>
  </si>
  <si>
    <t>DBH</t>
  </si>
  <si>
    <t>UrmsC</t>
  </si>
  <si>
    <t>Total Active Fundamental Power</t>
  </si>
  <si>
    <t>Phase A Active Fundamental Power</t>
  </si>
  <si>
    <t>Phase B Active Fundamental Power</t>
  </si>
  <si>
    <t>Phase C Active Fundamental Power</t>
  </si>
  <si>
    <t>Total Active Harmonic Power</t>
  </si>
  <si>
    <t>Phase A Active Harmonic Power</t>
  </si>
  <si>
    <t>Phase B Active Harmonic Power</t>
  </si>
  <si>
    <t>Phase C Active Harmonic Power</t>
  </si>
  <si>
    <t>Phase A Voltage RMS</t>
  </si>
  <si>
    <t>Phase B Voltage RMS</t>
  </si>
  <si>
    <t>Phase C Voltage RMS</t>
  </si>
  <si>
    <t>DCH</t>
  </si>
  <si>
    <t>IrmsN</t>
  </si>
  <si>
    <t>DDH</t>
  </si>
  <si>
    <t>IrmsA</t>
  </si>
  <si>
    <t>DEH</t>
  </si>
  <si>
    <t>IrmsB</t>
  </si>
  <si>
    <t>DFH</t>
  </si>
  <si>
    <t>IrmsC</t>
  </si>
  <si>
    <t>E0H</t>
  </si>
  <si>
    <t>PmeanTFLSB</t>
  </si>
  <si>
    <t>E1H</t>
  </si>
  <si>
    <t>PmeanAFLSB</t>
  </si>
  <si>
    <t>E2H</t>
  </si>
  <si>
    <t>PmeanBFLSB</t>
  </si>
  <si>
    <t>E3H</t>
  </si>
  <si>
    <t>PmeanCFLSB</t>
  </si>
  <si>
    <t>E4H</t>
  </si>
  <si>
    <t>PmeanTHLSB</t>
  </si>
  <si>
    <t>E5H</t>
  </si>
  <si>
    <t>PmeanAHLSB</t>
  </si>
  <si>
    <t>E6H</t>
  </si>
  <si>
    <t>PmeanBHLSB</t>
  </si>
  <si>
    <t>E7H</t>
  </si>
  <si>
    <t>PmeanCHLSB</t>
  </si>
  <si>
    <t>E9H</t>
  </si>
  <si>
    <t>UrmsALSB</t>
  </si>
  <si>
    <t>EAH</t>
  </si>
  <si>
    <t>UrmsBLSB</t>
  </si>
  <si>
    <t>EBH</t>
  </si>
  <si>
    <t>UrmsCLSB</t>
  </si>
  <si>
    <t>EDH</t>
  </si>
  <si>
    <t>IrmsALSB</t>
  </si>
  <si>
    <t>EEH</t>
  </si>
  <si>
    <t>IrmsBLSB</t>
  </si>
  <si>
    <t>EFH</t>
  </si>
  <si>
    <t>IrmsCLSB</t>
  </si>
  <si>
    <t>N Line Calculated Current RMS</t>
  </si>
  <si>
    <t>Phase A Current RMS</t>
  </si>
  <si>
    <t>Phase B Current RMS</t>
  </si>
  <si>
    <t>Phase C Current RMS</t>
  </si>
  <si>
    <t>Lower Word of Total Active Fundamental Power</t>
  </si>
  <si>
    <t>Lower Word of Phase A Active Fundamental Power</t>
  </si>
  <si>
    <t>Lower Word of Phase B Active Fundamental Power</t>
  </si>
  <si>
    <t>Lower Word of Phase C Active Fundamental Power</t>
  </si>
  <si>
    <t>Lower Word of Total Active Harmonic Power</t>
  </si>
  <si>
    <t>Lower Word of Phase A Active Harmonic Power</t>
  </si>
  <si>
    <t>Lower Word of Phase B Active Harmonic Power</t>
  </si>
  <si>
    <t>Lower Word of Phase C Active Harmonic Power</t>
  </si>
  <si>
    <t>Lower Word of Phase A Voltage RMS</t>
  </si>
  <si>
    <t>Lower Word of Phase B Voltage RMS</t>
  </si>
  <si>
    <t>Lower Word of Phase C Voltage RMS</t>
  </si>
  <si>
    <t>Lower Word of Phase A Current RMS</t>
  </si>
  <si>
    <t>Lower Word of Phase B Current RMS</t>
  </si>
  <si>
    <t>Lower Word of Phase C Current RMS</t>
  </si>
  <si>
    <t>F1H</t>
  </si>
  <si>
    <t>UPeakA</t>
  </si>
  <si>
    <t>F2H</t>
  </si>
  <si>
    <t>UPeakB</t>
  </si>
  <si>
    <t>F3H</t>
  </si>
  <si>
    <t>UPeakC</t>
  </si>
  <si>
    <t>F5H</t>
  </si>
  <si>
    <t>IPeakA</t>
  </si>
  <si>
    <t>F6H</t>
  </si>
  <si>
    <t>IPeakB</t>
  </si>
  <si>
    <t>F7H</t>
  </si>
  <si>
    <t>IPeakC</t>
  </si>
  <si>
    <t>F8H</t>
  </si>
  <si>
    <t>Freq</t>
  </si>
  <si>
    <t>F9H</t>
  </si>
  <si>
    <t>PAngleA</t>
  </si>
  <si>
    <t>FAH</t>
  </si>
  <si>
    <t>PAngleB</t>
  </si>
  <si>
    <t>FBH</t>
  </si>
  <si>
    <t>PAngleC</t>
  </si>
  <si>
    <t>FCH</t>
  </si>
  <si>
    <t>Temp</t>
  </si>
  <si>
    <t>FDH</t>
  </si>
  <si>
    <t>UangleA</t>
  </si>
  <si>
    <t>FEH</t>
  </si>
  <si>
    <t>UangleB</t>
  </si>
  <si>
    <t>FFH</t>
  </si>
  <si>
    <t>UangleC</t>
  </si>
  <si>
    <t>Channel A Voltage Peak</t>
  </si>
  <si>
    <t>Channel B Voltage Peak</t>
  </si>
  <si>
    <t>Channel C Voltage Peak</t>
  </si>
  <si>
    <t>Channel A Current Peak</t>
  </si>
  <si>
    <t>Channel B Current Peak</t>
  </si>
  <si>
    <t>Channel C Current Peak</t>
  </si>
  <si>
    <t>Frequency</t>
  </si>
  <si>
    <t>Phase A Mean Phase Angle</t>
  </si>
  <si>
    <t>Phase B Mean Phase Angle</t>
  </si>
  <si>
    <t>Phase C Mean Phase Angle</t>
  </si>
  <si>
    <t>Measured Temperature</t>
  </si>
  <si>
    <t>Phase A Voltage Phase Angle</t>
  </si>
  <si>
    <t>Phase B Voltage Phase Angle</t>
  </si>
  <si>
    <t>Phase C Voltage Phase Angle</t>
  </si>
  <si>
    <t>Gain.A.I.rms01</t>
  </si>
  <si>
    <t>Gain.A.I.rms2</t>
  </si>
  <si>
    <t>Gain.B.I.rms01</t>
  </si>
  <si>
    <t>Gain.B.I.rms2</t>
  </si>
  <si>
    <t>Gain.C.I.rms01</t>
  </si>
  <si>
    <t>Gain.C.I.rms2</t>
  </si>
  <si>
    <t>Pl.const.H</t>
  </si>
  <si>
    <t>Pl.const.L</t>
  </si>
  <si>
    <t>M.Mode0</t>
  </si>
  <si>
    <t>M.Mode1</t>
  </si>
  <si>
    <t>P.start.Th</t>
  </si>
  <si>
    <t>Q.start.Th</t>
  </si>
  <si>
    <t>S.start.Th</t>
  </si>
  <si>
    <t>P.phase.Th</t>
  </si>
  <si>
    <t>Q.phase.Th</t>
  </si>
  <si>
    <t>S.phase.Th</t>
  </si>
  <si>
    <t>P.offset.A</t>
  </si>
  <si>
    <t>Q.offset.A</t>
  </si>
  <si>
    <t>P.offset.B</t>
  </si>
  <si>
    <t>Q.offset.B</t>
  </si>
  <si>
    <t>P.offset.C</t>
  </si>
  <si>
    <t>Q.offset.C</t>
  </si>
  <si>
    <t>P.Q.Gain.A</t>
  </si>
  <si>
    <t>Ph.i.A</t>
  </si>
  <si>
    <t>Ph.i.A.I.rms01</t>
  </si>
  <si>
    <t>Ph.i.A.I.rms2</t>
  </si>
  <si>
    <t>Ph.i.B.I.rms01</t>
  </si>
  <si>
    <t>Ph.i.B.I.rms2</t>
  </si>
  <si>
    <t>Ph.i.C.I.rms2</t>
  </si>
  <si>
    <t>Ph.i.C.I.rms01</t>
  </si>
  <si>
    <t>P.Q.Gain.B</t>
  </si>
  <si>
    <t>Ph.i.B</t>
  </si>
  <si>
    <t>P.Q.Gain.C</t>
  </si>
  <si>
    <t>Ph.i.C</t>
  </si>
  <si>
    <t>P.offset.A.F</t>
  </si>
  <si>
    <t>P.offset.B.F</t>
  </si>
  <si>
    <t>P.offset.C.F</t>
  </si>
  <si>
    <t>P.gain.A.F</t>
  </si>
  <si>
    <t>P.gain.B.F</t>
  </si>
  <si>
    <t>P.Gain.C.F</t>
  </si>
  <si>
    <t>U.gain.A</t>
  </si>
  <si>
    <t>I.gain.A</t>
  </si>
  <si>
    <t>U.offset.A</t>
  </si>
  <si>
    <t>I.offset.A</t>
  </si>
  <si>
    <t>U.gain.B</t>
  </si>
  <si>
    <t>I.gain.B</t>
  </si>
  <si>
    <t>U.offset.B</t>
  </si>
  <si>
    <t>I.offset.B</t>
  </si>
  <si>
    <t>U.gain.C</t>
  </si>
  <si>
    <t>I.gain.C</t>
  </si>
  <si>
    <t>U.offset.C</t>
  </si>
  <si>
    <t>I.offset.C</t>
  </si>
  <si>
    <t>Soft.Reset</t>
  </si>
  <si>
    <t>EMM.State0</t>
  </si>
  <si>
    <t>EMM.State1</t>
  </si>
  <si>
    <t>EMM.Int.State0</t>
  </si>
  <si>
    <t>EMM.Int.State1</t>
  </si>
  <si>
    <t>EMM.Int.En0</t>
  </si>
  <si>
    <t>EMM.Int.En1</t>
  </si>
  <si>
    <t>Last.SPI.Data</t>
  </si>
  <si>
    <t>CRC.Err.Status</t>
  </si>
  <si>
    <t>CRC.Digest</t>
  </si>
  <si>
    <t>Cfg.Reg.Acc.En</t>
  </si>
  <si>
    <t>A.p.energy.A</t>
  </si>
  <si>
    <t>A.p.energy.B</t>
  </si>
  <si>
    <t>A.p.energy.C</t>
  </si>
  <si>
    <t>A.n.energy.T</t>
  </si>
  <si>
    <t>A.p.energy.T</t>
  </si>
  <si>
    <t>A.n.energy.A</t>
  </si>
  <si>
    <t>A.n.energy.B</t>
  </si>
  <si>
    <t>A.n.energy.C</t>
  </si>
  <si>
    <t>R.p.energy.T</t>
  </si>
  <si>
    <t>R.p.energy.A</t>
  </si>
  <si>
    <t>R.p.energy.B</t>
  </si>
  <si>
    <t>R.p.energy.C</t>
  </si>
  <si>
    <t>R.n.energy.T</t>
  </si>
  <si>
    <t>R.n.energy.A</t>
  </si>
  <si>
    <t>R.n.energy.B</t>
  </si>
  <si>
    <t>R.n.energy.C</t>
  </si>
  <si>
    <t>S.a.energy.T</t>
  </si>
  <si>
    <t>S.energy.A</t>
  </si>
  <si>
    <t>S.energy.B</t>
  </si>
  <si>
    <t>S.energy.C</t>
  </si>
  <si>
    <t>A.p.energy.T.F</t>
  </si>
  <si>
    <t>A.p.energy.A.F</t>
  </si>
  <si>
    <t>A.p.energy.B.F</t>
  </si>
  <si>
    <t>A.p.energy.C.F</t>
  </si>
  <si>
    <t>A.n.energy.T.F</t>
  </si>
  <si>
    <t>A.n.energy.A.F</t>
  </si>
  <si>
    <t>A.n.energy.B.F</t>
  </si>
  <si>
    <t>A.n.energy.C.F</t>
  </si>
  <si>
    <t>A.p.energy.T.H</t>
  </si>
  <si>
    <t>A.p.energy.A.H</t>
  </si>
  <si>
    <t>A.p.energy.B.H</t>
  </si>
  <si>
    <t>A.p.energy.C.H</t>
  </si>
  <si>
    <t>A.n.energy.T.H</t>
  </si>
  <si>
    <t>A.n.energy.A.H</t>
  </si>
  <si>
    <t>A.n.energy.B.H</t>
  </si>
  <si>
    <t>A.n.energy.C.H</t>
  </si>
  <si>
    <t>P.mean.T</t>
  </si>
  <si>
    <t>P.mean.A</t>
  </si>
  <si>
    <t>P.mean.B</t>
  </si>
  <si>
    <t>P.mean.C</t>
  </si>
  <si>
    <t>Q.mean.T</t>
  </si>
  <si>
    <t>Q.mean.A</t>
  </si>
  <si>
    <t>Q.mean.B</t>
  </si>
  <si>
    <t>Q.mean.C</t>
  </si>
  <si>
    <t>S.mean.T</t>
  </si>
  <si>
    <t>S.mean.A</t>
  </si>
  <si>
    <t>S.mean.B</t>
  </si>
  <si>
    <t>S.mean.C</t>
  </si>
  <si>
    <t>P.f.mean.T</t>
  </si>
  <si>
    <t>P.f.mean.A</t>
  </si>
  <si>
    <t>P.f.mean.B</t>
  </si>
  <si>
    <t>P.f.mean.C</t>
  </si>
  <si>
    <t>P.mean.T.L.S.B</t>
  </si>
  <si>
    <t>P.mean.A.L.S.B</t>
  </si>
  <si>
    <t>P.mean.B.L.S.B</t>
  </si>
  <si>
    <t>P.mean.C.L.S.B</t>
  </si>
  <si>
    <t>Q.mean.T.L.S.B</t>
  </si>
  <si>
    <t>Q.mean.A.L.S.B</t>
  </si>
  <si>
    <t>Q.mean.B.L.S.B</t>
  </si>
  <si>
    <t>Q.mean.C.L.S.B</t>
  </si>
  <si>
    <t>S.a.mean.T.L.S.B</t>
  </si>
  <si>
    <t>S.mean.A.L.S.B</t>
  </si>
  <si>
    <t>S.mean.B.L.S.B</t>
  </si>
  <si>
    <t>S.mean.C.L.S.B</t>
  </si>
  <si>
    <t>P.mean.T.F</t>
  </si>
  <si>
    <t>P.mean.A.F</t>
  </si>
  <si>
    <t>P.mean.B.F</t>
  </si>
  <si>
    <t>P.mean.C.F</t>
  </si>
  <si>
    <t>P.mean.T.H</t>
  </si>
  <si>
    <t>P.mean.A.H</t>
  </si>
  <si>
    <t>P.mean.B.H</t>
  </si>
  <si>
    <t>P.mean.C.H</t>
  </si>
  <si>
    <t>U.rms.A</t>
  </si>
  <si>
    <t>U.rms.B</t>
  </si>
  <si>
    <t>U.rms.C</t>
  </si>
  <si>
    <t>I.rms.N</t>
  </si>
  <si>
    <t>I.rms.A</t>
  </si>
  <si>
    <t>I.rms.B</t>
  </si>
  <si>
    <t>I.rms.C</t>
  </si>
  <si>
    <t>P.mean.T.F.L.S.B</t>
  </si>
  <si>
    <t>P.mean.A.F.L.S.B</t>
  </si>
  <si>
    <t>P.mean.B.F.L.S.B</t>
  </si>
  <si>
    <t>P.mean.C.F.L.S.B</t>
  </si>
  <si>
    <t>P.mean.T.H.L.S.B</t>
  </si>
  <si>
    <t>P.mean.A.H.L.S.B</t>
  </si>
  <si>
    <t>P.mean.B.H.L.S.B</t>
  </si>
  <si>
    <t>P.mean.C.H.L.S.B</t>
  </si>
  <si>
    <t>U.rms.A.L.S.B</t>
  </si>
  <si>
    <t>U.rms.B.L.S.B</t>
  </si>
  <si>
    <t>U.rms.C.L.S.B</t>
  </si>
  <si>
    <t>I.rms.A.L.S.B</t>
  </si>
  <si>
    <t>I.rms.B.L.S.B</t>
  </si>
  <si>
    <t>I.rms.C.L.S.B</t>
  </si>
  <si>
    <t>U.Peak.A</t>
  </si>
  <si>
    <t>U.Peak.B</t>
  </si>
  <si>
    <t>U.Peak.C</t>
  </si>
  <si>
    <t>I.Peak.A</t>
  </si>
  <si>
    <t>I.Peak.B</t>
  </si>
  <si>
    <t>I.Peak.C</t>
  </si>
  <si>
    <t>P.Angle.A</t>
  </si>
  <si>
    <t>P.Angle.B</t>
  </si>
  <si>
    <t>P.Angle.C</t>
  </si>
  <si>
    <t>U.angle.A</t>
  </si>
  <si>
    <t>U.angle.B</t>
  </si>
  <si>
    <t>U.angle.C</t>
  </si>
  <si>
    <t>0A</t>
  </si>
  <si>
    <t>0B</t>
  </si>
  <si>
    <t>0C</t>
  </si>
  <si>
    <t>0D</t>
  </si>
  <si>
    <t>0E</t>
  </si>
  <si>
    <t>0F</t>
  </si>
  <si>
    <t>1A</t>
  </si>
  <si>
    <t>1B</t>
  </si>
  <si>
    <t>1C</t>
  </si>
  <si>
    <t>2A</t>
  </si>
  <si>
    <t>2B</t>
  </si>
  <si>
    <t>2C</t>
  </si>
  <si>
    <t>2D</t>
  </si>
  <si>
    <t>2E</t>
  </si>
  <si>
    <t>2F</t>
  </si>
  <si>
    <t>3A</t>
  </si>
  <si>
    <t>4A</t>
  </si>
  <si>
    <t>4B</t>
  </si>
  <si>
    <t>4C</t>
  </si>
  <si>
    <t>6A</t>
  </si>
  <si>
    <t>6B</t>
  </si>
  <si>
    <t>6C</t>
  </si>
  <si>
    <t>7A</t>
  </si>
  <si>
    <t>7F</t>
  </si>
  <si>
    <t>8A</t>
  </si>
  <si>
    <t>8B</t>
  </si>
  <si>
    <t>8C</t>
  </si>
  <si>
    <t>8D</t>
  </si>
  <si>
    <t>8E</t>
  </si>
  <si>
    <t>8F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</si>
  <si>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</si>
  <si>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</si>
  <si>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</si>
  <si>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</si>
  <si>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</si>
  <si>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</si>
  <si>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</si>
  <si>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</si>
  <si>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</si>
  <si>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</si>
  <si>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</si>
  <si>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</si>
  <si>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</si>
  <si>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</si>
  <si>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</si>
  <si>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</si>
  <si>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</si>
  <si>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</si>
  <si>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</si>
  <si>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</si>
  <si>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</si>
  <si>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</si>
  <si>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</si>
  <si>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</si>
  <si>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</si>
  <si>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</si>
  <si>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</si>
  <si>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</si>
  <si>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</si>
  <si>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</si>
  <si>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</si>
  <si>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</si>
  <si>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</si>
  <si>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</si>
  <si>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</si>
  <si>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</si>
  <si>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</si>
  <si>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</si>
  <si>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</si>
  <si>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</si>
  <si>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</si>
  <si>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</si>
  <si>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</si>
  <si>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</si>
  <si>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D0</t>
  </si>
  <si>
    <t>D1</t>
  </si>
  <si>
    <t>D2</t>
  </si>
  <si>
    <t>D3</t>
  </si>
  <si>
    <t>D4</t>
  </si>
  <si>
    <t>D5</t>
  </si>
  <si>
    <t>D6</t>
  </si>
  <si>
    <t>D7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</si>
  <si>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</si>
  <si>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</si>
  <si>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</si>
  <si>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</si>
  <si>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</si>
  <si>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</si>
  <si>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</si>
  <si>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</si>
  <si>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</si>
  <si>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</si>
  <si>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</si>
  <si>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</si>
  <si>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</si>
  <si>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</si>
  <si>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</si>
  <si>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E9</t>
  </si>
  <si>
    <t>EA</t>
  </si>
  <si>
    <t>EB</t>
  </si>
  <si>
    <t>ED</t>
  </si>
  <si>
    <t>EE</t>
  </si>
  <si>
    <t>EF</t>
  </si>
  <si>
    <t>F1</t>
  </si>
  <si>
    <t>F2</t>
  </si>
  <si>
    <t>F3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</si>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</sst>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9"/>
      <color rgb="FF0000FF"/>
      <name val="Arial"/>
      <family val="2"/>
      <charset val="204"/>
    </font>
    <font>
      <sz val="9"/>
      <color rgb="FF0000FF"/>
      <name val="ArialNarrow"/>
    </font>
    <font>
      <sz val="11"/>
      <color rgb="FF000000"/>
      <name val="Calibri"/>
      <family val="2"/>
      <charset val="204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H202"/>
  <sheetViews>
    <sheetView tabSelected="1" topLeftCell="A94" workbookViewId="0">
      <selection activeCell="F111" sqref="F111"/>
    </sheetView>
  </sheetViews>
  <sheetFormatPr defaultRowHeight="15"/>
  <cols>
    <col min="3" max="3" width="12.5703125" customWidth="1"/>
    <col min="5" max="5" width="66.42578125" bestFit="1" customWidth="1"/>
    <col min="6" max="6" width="30.85546875" customWidth="1"/>
    <col min="7" max="7" width="17.28515625" bestFit="1" customWidth="1"/>
    <col min="8" max="8" width="155.28515625" bestFit="1" customWidth="1"/>
  </cols>
  <sheetData>
    <row r="1" spans="2:8">
      <c r="B1" t="s">
        <v>123</v>
      </c>
      <c r="C1" t="s">
        <v>122</v>
      </c>
      <c r="D1" t="s">
        <v>121</v>
      </c>
      <c r="E1" t="s">
        <v>120</v>
      </c>
      <c r="F1" t="s">
        <v>89</v>
      </c>
      <c r="G1" t="s">
        <v>119</v>
      </c>
      <c r="H1" t="s">
        <v>88</v>
      </c>
    </row>
    <row r="2" spans="2:8">
      <c r="B2" s="1" t="s">
        <v>0</v>
      </c>
      <c r="C2" s="2" t="s">
        <v>1</v>
      </c>
      <c r="D2" s="1" t="s">
        <v>55</v>
      </c>
      <c r="E2" s="1" t="s">
        <v>59</v>
      </c>
      <c r="F2" t="str">
        <f t="shared" ref="F2:F65" si="0">LOWER(G2)</f>
        <v>meter.en</v>
      </c>
      <c r="G2" t="s">
        <v>90</v>
      </c>
      <c r="H2" t="str">
        <f t="shared" ref="H2:H65" si="1">CONCATENATE("&lt;register address=""",B2,""" name=""",C2,""" type=""",D2,""" description=""",E2,""" designator=""",F2,"""/&gt;")</f>
        <v>&lt;register address="00H" name="MeterEn" type="R/W" description="Metering Enable" designator="meter.en"/&gt;</v>
      </c>
    </row>
    <row r="3" spans="2:8">
      <c r="B3" s="1" t="s">
        <v>2</v>
      </c>
      <c r="C3" s="2" t="s">
        <v>56</v>
      </c>
      <c r="D3" s="1" t="s">
        <v>55</v>
      </c>
      <c r="E3" s="1" t="s">
        <v>60</v>
      </c>
      <c r="F3" t="str">
        <f t="shared" si="0"/>
        <v>channel.map</v>
      </c>
      <c r="G3" t="s">
        <v>91</v>
      </c>
      <c r="H3" t="str">
        <f t="shared" si="1"/>
        <v>&lt;register address="01H" name="ChannelMap" type="R/W" description="Current Channel Mapping Configuration" designator="channel.map"/&gt;</v>
      </c>
    </row>
    <row r="4" spans="2:8">
      <c r="B4" s="1" t="s">
        <v>3</v>
      </c>
      <c r="C4" s="2" t="s">
        <v>4</v>
      </c>
      <c r="D4" s="1" t="s">
        <v>55</v>
      </c>
      <c r="E4" s="1" t="s">
        <v>61</v>
      </c>
      <c r="F4" t="str">
        <f t="shared" si="0"/>
        <v>channel.map.u</v>
      </c>
      <c r="G4" t="s">
        <v>92</v>
      </c>
      <c r="H4" t="str">
        <f t="shared" si="1"/>
        <v>&lt;register address="02H" name="ChannelMapU" type="R/W" description="Voltage Channel Mapping Configuration" designator="channel.map.u"/&gt;</v>
      </c>
    </row>
    <row r="5" spans="2:8">
      <c r="B5" s="1" t="s">
        <v>5</v>
      </c>
      <c r="C5" s="2" t="s">
        <v>57</v>
      </c>
      <c r="D5" s="1" t="s">
        <v>55</v>
      </c>
      <c r="E5" s="1" t="s">
        <v>62</v>
      </c>
      <c r="F5" t="str">
        <f t="shared" si="0"/>
        <v>sag.peak.det.c</v>
      </c>
      <c r="G5" t="s">
        <v>93</v>
      </c>
      <c r="H5" t="str">
        <f t="shared" si="1"/>
        <v>&lt;register address="05H" name="SagPeakDetC" type="R/W" description="Sag and Peak Detector Period Configuration" designator="sag.peak.det.c"/&gt;</v>
      </c>
    </row>
    <row r="6" spans="2:8">
      <c r="B6" s="1" t="s">
        <v>6</v>
      </c>
      <c r="C6" s="2" t="s">
        <v>7</v>
      </c>
      <c r="D6" s="1" t="s">
        <v>55</v>
      </c>
      <c r="E6" s="1" t="s">
        <v>63</v>
      </c>
      <c r="F6" t="str">
        <f t="shared" si="0"/>
        <v>o.v.th</v>
      </c>
      <c r="G6" t="s">
        <v>94</v>
      </c>
      <c r="H6" t="str">
        <f t="shared" si="1"/>
        <v>&lt;register address="06H" name="OVth" type="R/W" description="Over Voltage Threshold" designator="o.v.th"/&gt;</v>
      </c>
    </row>
    <row r="7" spans="2:8">
      <c r="B7" s="1" t="s">
        <v>8</v>
      </c>
      <c r="C7" s="2" t="s">
        <v>9</v>
      </c>
      <c r="D7" s="1" t="s">
        <v>55</v>
      </c>
      <c r="E7" s="1" t="s">
        <v>64</v>
      </c>
      <c r="F7" t="str">
        <f t="shared" si="0"/>
        <v>z.x.config</v>
      </c>
      <c r="G7" t="s">
        <v>95</v>
      </c>
      <c r="H7" t="str">
        <f t="shared" si="1"/>
        <v>&lt;register address="07H" name="ZXConfig" type="R/W" description="Zero-Crossing Configuration" designator="z.x.config"/&gt;</v>
      </c>
    </row>
    <row r="8" spans="2:8">
      <c r="B8" s="1" t="s">
        <v>10</v>
      </c>
      <c r="C8" s="2" t="s">
        <v>11</v>
      </c>
      <c r="D8" s="1" t="s">
        <v>55</v>
      </c>
      <c r="E8" s="1" t="s">
        <v>65</v>
      </c>
      <c r="F8" t="str">
        <f t="shared" si="0"/>
        <v>sag.th</v>
      </c>
      <c r="G8" t="s">
        <v>96</v>
      </c>
      <c r="H8" t="str">
        <f t="shared" si="1"/>
        <v>&lt;register address="08H" name="SagTh" type="R/W" description="Voltage Sag Threshold" designator="sag.th"/&gt;</v>
      </c>
    </row>
    <row r="9" spans="2:8">
      <c r="B9" s="1" t="s">
        <v>12</v>
      </c>
      <c r="C9" s="2" t="s">
        <v>13</v>
      </c>
      <c r="D9" s="1" t="s">
        <v>55</v>
      </c>
      <c r="E9" s="1" t="s">
        <v>66</v>
      </c>
      <c r="F9" t="str">
        <f t="shared" si="0"/>
        <v>phase.loss.th</v>
      </c>
      <c r="G9" t="s">
        <v>97</v>
      </c>
      <c r="H9" t="str">
        <f t="shared" si="1"/>
        <v>&lt;register address="09H" name="PhaseLossTh" type="R/W" description="Voltage Phase Losing Threshold" designator="phase.loss.th"/&gt;</v>
      </c>
    </row>
    <row r="10" spans="2:8">
      <c r="B10" s="1" t="s">
        <v>14</v>
      </c>
      <c r="C10" s="2" t="s">
        <v>15</v>
      </c>
      <c r="D10" s="1" t="s">
        <v>55</v>
      </c>
      <c r="E10" s="1" t="s">
        <v>72</v>
      </c>
      <c r="F10" t="str">
        <f t="shared" si="0"/>
        <v>in.warn.th</v>
      </c>
      <c r="G10" t="s">
        <v>98</v>
      </c>
      <c r="H10" t="str">
        <f t="shared" si="1"/>
        <v>&lt;register address="0AH" name="InWarnTh" type="R/W" description="Neutral Current (Calculated) Warning Threshold" designator="in.warn.th"/&gt;</v>
      </c>
    </row>
    <row r="11" spans="2:8">
      <c r="B11" s="1" t="s">
        <v>16</v>
      </c>
      <c r="C11" s="2" t="s">
        <v>17</v>
      </c>
      <c r="D11" s="1" t="s">
        <v>55</v>
      </c>
      <c r="E11" s="1" t="s">
        <v>67</v>
      </c>
      <c r="F11" t="str">
        <f t="shared" si="0"/>
        <v>o.i.th</v>
      </c>
      <c r="G11" t="s">
        <v>99</v>
      </c>
      <c r="H11" t="str">
        <f t="shared" si="1"/>
        <v>&lt;register address="0BH" name="OIth" type="R/W" description="Over Current Threshold" designator="o.i.th"/&gt;</v>
      </c>
    </row>
    <row r="12" spans="2:8">
      <c r="B12" s="1" t="s">
        <v>18</v>
      </c>
      <c r="C12" s="2" t="s">
        <v>19</v>
      </c>
      <c r="D12" s="1" t="s">
        <v>55</v>
      </c>
      <c r="E12" s="1" t="s">
        <v>68</v>
      </c>
      <c r="F12" t="str">
        <f t="shared" si="0"/>
        <v>freq.lo.th</v>
      </c>
      <c r="G12" t="s">
        <v>100</v>
      </c>
      <c r="H12" t="str">
        <f t="shared" si="1"/>
        <v>&lt;register address="0CH" name="FreqLoTh" type="R/W" description="Low Threshold for Frequency Detection" designator="freq.lo.th"/&gt;</v>
      </c>
    </row>
    <row r="13" spans="2:8">
      <c r="B13" s="1" t="s">
        <v>20</v>
      </c>
      <c r="C13" s="2" t="s">
        <v>21</v>
      </c>
      <c r="D13" s="1" t="s">
        <v>55</v>
      </c>
      <c r="E13" s="1" t="s">
        <v>69</v>
      </c>
      <c r="F13" t="str">
        <f t="shared" si="0"/>
        <v>freq.hi.th</v>
      </c>
      <c r="G13" t="s">
        <v>101</v>
      </c>
      <c r="H13" t="str">
        <f t="shared" si="1"/>
        <v>&lt;register address="0DH" name="FreqHiTh" type="R/W" description="High Threshold for Frequency Detection" designator="freq.hi.th"/&gt;</v>
      </c>
    </row>
    <row r="14" spans="2:8">
      <c r="B14" s="1" t="s">
        <v>22</v>
      </c>
      <c r="C14" s="2" t="s">
        <v>23</v>
      </c>
      <c r="D14" s="1" t="s">
        <v>55</v>
      </c>
      <c r="E14" s="1" t="s">
        <v>70</v>
      </c>
      <c r="F14" t="str">
        <f t="shared" si="0"/>
        <v>p.m.pwr.ctrl</v>
      </c>
      <c r="G14" t="s">
        <v>102</v>
      </c>
      <c r="H14" t="str">
        <f t="shared" si="1"/>
        <v>&lt;register address="0EH" name="PMPwrCtrl" type="R/W" description="Partial Measurement Mode Power Control" designator="p.m.pwr.ctrl"/&gt;</v>
      </c>
    </row>
    <row r="15" spans="2:8">
      <c r="B15" s="1" t="s">
        <v>24</v>
      </c>
      <c r="C15" s="2" t="s">
        <v>58</v>
      </c>
      <c r="D15" s="1" t="s">
        <v>55</v>
      </c>
      <c r="E15" s="1" t="s">
        <v>71</v>
      </c>
      <c r="F15" t="str">
        <f t="shared" si="0"/>
        <v>irq0.merge.cf</v>
      </c>
      <c r="G15" t="s">
        <v>103</v>
      </c>
      <c r="H15" t="str">
        <f t="shared" si="1"/>
        <v>&lt;register address="0FH" name="IRQ0MergeCf" type="R/W" description="IRQ0 Merge Configuration" designator="irq0.merge.cf"/&gt;</v>
      </c>
    </row>
    <row r="16" spans="2:8">
      <c r="B16" s="1" t="s">
        <v>25</v>
      </c>
      <c r="C16" s="2" t="s">
        <v>26</v>
      </c>
      <c r="D16" s="1" t="s">
        <v>55</v>
      </c>
      <c r="E16" t="s">
        <v>73</v>
      </c>
      <c r="F16" t="str">
        <f t="shared" si="0"/>
        <v>detect.ctr.l</v>
      </c>
      <c r="G16" t="s">
        <v>104</v>
      </c>
      <c r="H16" t="str">
        <f t="shared" si="1"/>
        <v>&lt;register address="10H" name="DetectCtrl" type="R/W" description="Current Detect Control" designator="detect.ctr.l"/&gt;</v>
      </c>
    </row>
    <row r="17" spans="2:8">
      <c r="B17" s="1" t="s">
        <v>27</v>
      </c>
      <c r="C17" s="2" t="s">
        <v>28</v>
      </c>
      <c r="D17" s="1" t="s">
        <v>55</v>
      </c>
      <c r="E17" t="s">
        <v>81</v>
      </c>
      <c r="F17" t="str">
        <f t="shared" si="0"/>
        <v>detect.th1</v>
      </c>
      <c r="G17" t="s">
        <v>116</v>
      </c>
      <c r="H17" t="str">
        <f t="shared" si="1"/>
        <v>&lt;register address="11H" name="DetectTh1" type="R/W" description="Channel 1 Current Threshold in Detection Mode" designator="detect.th1"/&gt;</v>
      </c>
    </row>
    <row r="18" spans="2:8">
      <c r="B18" s="1" t="s">
        <v>29</v>
      </c>
      <c r="C18" s="2" t="s">
        <v>30</v>
      </c>
      <c r="D18" s="1" t="s">
        <v>55</v>
      </c>
      <c r="E18" t="s">
        <v>82</v>
      </c>
      <c r="F18" t="str">
        <f t="shared" si="0"/>
        <v>detect.th2</v>
      </c>
      <c r="G18" t="s">
        <v>117</v>
      </c>
      <c r="H18" t="str">
        <f t="shared" si="1"/>
        <v>&lt;register address="12H" name="DetectTh2" type="R/W" description="Channel 2 Current Threshold in Detection Mode" designator="detect.th2"/&gt;</v>
      </c>
    </row>
    <row r="19" spans="2:8">
      <c r="B19" s="1" t="s">
        <v>31</v>
      </c>
      <c r="C19" s="2" t="s">
        <v>32</v>
      </c>
      <c r="D19" s="1" t="s">
        <v>55</v>
      </c>
      <c r="E19" t="s">
        <v>83</v>
      </c>
      <c r="F19" t="str">
        <f t="shared" si="0"/>
        <v>detect.th3</v>
      </c>
      <c r="G19" t="s">
        <v>118</v>
      </c>
      <c r="H19" t="str">
        <f t="shared" si="1"/>
        <v>&lt;register address="13H" name="DetectTh3" type="R/W" description="Channel 3 Current Threshold in Detection Mode" designator="detect.th3"/&gt;</v>
      </c>
    </row>
    <row r="20" spans="2:8">
      <c r="B20" s="1" t="s">
        <v>33</v>
      </c>
      <c r="C20" s="2" t="s">
        <v>34</v>
      </c>
      <c r="D20" s="1" t="s">
        <v>55</v>
      </c>
      <c r="E20" t="s">
        <v>74</v>
      </c>
      <c r="F20" t="str">
        <f t="shared" si="0"/>
        <v>i.dc.offset.a</v>
      </c>
      <c r="G20" t="s">
        <v>105</v>
      </c>
      <c r="H20" t="str">
        <f t="shared" si="1"/>
        <v>&lt;register address="14H" name="IDCoffsetA" type="R/W" description="Phase A Current DC offset" designator="i.dc.offset.a"/&gt;</v>
      </c>
    </row>
    <row r="21" spans="2:8">
      <c r="B21" s="1" t="s">
        <v>35</v>
      </c>
      <c r="C21" s="2" t="s">
        <v>36</v>
      </c>
      <c r="D21" s="1" t="s">
        <v>55</v>
      </c>
      <c r="E21" t="s">
        <v>75</v>
      </c>
      <c r="F21" t="str">
        <f t="shared" si="0"/>
        <v>i.dc.offset.b</v>
      </c>
      <c r="G21" t="s">
        <v>106</v>
      </c>
      <c r="H21" t="str">
        <f t="shared" si="1"/>
        <v>&lt;register address="15H" name="IDCoffsetB" type="R/W" description="Phase B Current DC offset" designator="i.dc.offset.b"/&gt;</v>
      </c>
    </row>
    <row r="22" spans="2:8">
      <c r="B22" s="1" t="s">
        <v>37</v>
      </c>
      <c r="C22" s="2" t="s">
        <v>38</v>
      </c>
      <c r="D22" s="1" t="s">
        <v>55</v>
      </c>
      <c r="E22" t="s">
        <v>76</v>
      </c>
      <c r="F22" t="str">
        <f t="shared" si="0"/>
        <v>i.dc.offset.c</v>
      </c>
      <c r="G22" t="s">
        <v>107</v>
      </c>
      <c r="H22" t="str">
        <f t="shared" si="1"/>
        <v>&lt;register address="16H" name="IDCoffsetC" type="R/W" description="Phase C Current DC offset" designator="i.dc.offset.c"/&gt;</v>
      </c>
    </row>
    <row r="23" spans="2:8">
      <c r="B23" s="1" t="s">
        <v>39</v>
      </c>
      <c r="C23" s="2" t="s">
        <v>40</v>
      </c>
      <c r="D23" s="1" t="s">
        <v>55</v>
      </c>
      <c r="E23" t="s">
        <v>77</v>
      </c>
      <c r="F23" t="str">
        <f t="shared" si="0"/>
        <v>udc.offset.a</v>
      </c>
      <c r="G23" t="s">
        <v>108</v>
      </c>
      <c r="H23" t="str">
        <f t="shared" si="1"/>
        <v>&lt;register address="17H" name="UDCoffsetA" type="R/W" description="Voltage DC offset for Channel A" designator="udc.offset.a"/&gt;</v>
      </c>
    </row>
    <row r="24" spans="2:8">
      <c r="B24" s="1" t="s">
        <v>41</v>
      </c>
      <c r="C24" s="2" t="s">
        <v>42</v>
      </c>
      <c r="D24" s="1" t="s">
        <v>55</v>
      </c>
      <c r="E24" t="s">
        <v>78</v>
      </c>
      <c r="F24" t="str">
        <f t="shared" si="0"/>
        <v>u.dc.offset.b</v>
      </c>
      <c r="G24" t="s">
        <v>109</v>
      </c>
      <c r="H24" t="str">
        <f t="shared" si="1"/>
        <v>&lt;register address="18H" name="UDCoffsetB" type="R/W" description="Voltage DC offset for Channel B" designator="u.dc.offset.b"/&gt;</v>
      </c>
    </row>
    <row r="25" spans="2:8">
      <c r="B25" s="1" t="s">
        <v>43</v>
      </c>
      <c r="C25" s="2" t="s">
        <v>44</v>
      </c>
      <c r="D25" s="1" t="s">
        <v>55</v>
      </c>
      <c r="E25" t="s">
        <v>79</v>
      </c>
      <c r="F25" t="str">
        <f t="shared" si="0"/>
        <v>u.dc.offset.c</v>
      </c>
      <c r="G25" t="s">
        <v>110</v>
      </c>
      <c r="H25" t="str">
        <f t="shared" si="1"/>
        <v>&lt;register address="19H" name="UDCoffsetC" type="R/W" description="Voltage DC offset for Channel C" designator="u.dc.offset.c"/&gt;</v>
      </c>
    </row>
    <row r="26" spans="2:8">
      <c r="B26" s="1" t="s">
        <v>45</v>
      </c>
      <c r="C26" s="2" t="s">
        <v>46</v>
      </c>
      <c r="D26" s="1" t="s">
        <v>55</v>
      </c>
      <c r="E26" t="s">
        <v>84</v>
      </c>
      <c r="F26" t="str">
        <f t="shared" si="0"/>
        <v>u.gain.t.ab</v>
      </c>
      <c r="G26" t="s">
        <v>111</v>
      </c>
      <c r="H26" t="str">
        <f t="shared" si="1"/>
        <v>&lt;register address="1AH" name="UGainTAB" type="R/W" description="Voltage Gain Temperature Compensation for Phase A/B" designator="u.gain.t.ab"/&gt;</v>
      </c>
    </row>
    <row r="27" spans="2:8">
      <c r="B27" s="1" t="s">
        <v>47</v>
      </c>
      <c r="C27" s="2" t="s">
        <v>48</v>
      </c>
      <c r="D27" s="1" t="s">
        <v>55</v>
      </c>
      <c r="E27" t="s">
        <v>85</v>
      </c>
      <c r="F27" t="str">
        <f t="shared" si="0"/>
        <v>u.gain.t.c</v>
      </c>
      <c r="G27" t="s">
        <v>112</v>
      </c>
      <c r="H27" t="str">
        <f t="shared" si="1"/>
        <v>&lt;register address="1BH" name="UGainTC" type="R/W" description="Voltage Gain Temperature Compensation for Phase C" designator="u.gain.t.c"/&gt;</v>
      </c>
    </row>
    <row r="28" spans="2:8">
      <c r="B28" s="1" t="s">
        <v>49</v>
      </c>
      <c r="C28" s="2" t="s">
        <v>50</v>
      </c>
      <c r="D28" s="1" t="s">
        <v>55</v>
      </c>
      <c r="E28" t="s">
        <v>80</v>
      </c>
      <c r="F28" t="str">
        <f t="shared" si="0"/>
        <v>phi.freq.comp</v>
      </c>
      <c r="G28" t="s">
        <v>113</v>
      </c>
      <c r="H28" t="str">
        <f t="shared" si="1"/>
        <v>&lt;register address="1CH" name="PhiFreqComp" type="R/W" description="Phase Compensation for Frequency" designator="phi.freq.comp"/&gt;</v>
      </c>
    </row>
    <row r="29" spans="2:8">
      <c r="B29" s="1" t="s">
        <v>51</v>
      </c>
      <c r="C29" s="2" t="s">
        <v>52</v>
      </c>
      <c r="D29" s="1" t="s">
        <v>55</v>
      </c>
      <c r="E29" t="s">
        <v>86</v>
      </c>
      <c r="F29" t="str">
        <f t="shared" si="0"/>
        <v>log.i.rms0</v>
      </c>
      <c r="G29" t="s">
        <v>115</v>
      </c>
      <c r="H29" t="str">
        <f t="shared" si="1"/>
        <v>&lt;register address="20H" name="LOGIrms0" type="R/W" description="Current (Log Irms0) Configuration for Segment Compensation" designator="log.i.rms0"/&gt;</v>
      </c>
    </row>
    <row r="30" spans="2:8">
      <c r="B30" s="1" t="s">
        <v>53</v>
      </c>
      <c r="C30" s="2" t="s">
        <v>54</v>
      </c>
      <c r="D30" s="1" t="s">
        <v>55</v>
      </c>
      <c r="E30" t="s">
        <v>87</v>
      </c>
      <c r="F30" t="str">
        <f t="shared" si="0"/>
        <v>log.i.rms1</v>
      </c>
      <c r="G30" t="s">
        <v>114</v>
      </c>
      <c r="H30" t="str">
        <f t="shared" si="1"/>
        <v>&lt;register address="21H" name="LOGIrms1" type="R/W" description="Current (Log Irms1) Configuration for Segment Compensation" designator="log.i.rms1"/&gt;</v>
      </c>
    </row>
    <row r="31" spans="2:8">
      <c r="B31" s="1" t="s">
        <v>124</v>
      </c>
      <c r="C31" s="2" t="s">
        <v>148</v>
      </c>
      <c r="D31" s="1" t="s">
        <v>55</v>
      </c>
      <c r="E31" s="4" t="s">
        <v>172</v>
      </c>
      <c r="F31" t="str">
        <f t="shared" si="0"/>
        <v>f0</v>
      </c>
      <c r="G31" t="s">
        <v>148</v>
      </c>
      <c r="H31" t="str">
        <f t="shared" si="1"/>
        <v>&lt;register address="22H" name="F0" type="R/W" description="Nominal Frequency" designator="f0"/&gt;</v>
      </c>
    </row>
    <row r="32" spans="2:8">
      <c r="B32" s="1" t="s">
        <v>125</v>
      </c>
      <c r="C32" s="2" t="s">
        <v>149</v>
      </c>
      <c r="D32" s="1" t="s">
        <v>55</v>
      </c>
      <c r="E32" s="4" t="s">
        <v>173</v>
      </c>
      <c r="F32" t="str">
        <f t="shared" si="0"/>
        <v>t0</v>
      </c>
      <c r="G32" t="s">
        <v>149</v>
      </c>
      <c r="H32" t="str">
        <f t="shared" si="1"/>
        <v>&lt;register address="23H" name="T0" type="R/W" description="Nominal Temperature" designator="t0"/&gt;</v>
      </c>
    </row>
    <row r="33" spans="2:8">
      <c r="B33" s="1" t="s">
        <v>126</v>
      </c>
      <c r="C33" s="2" t="s">
        <v>150</v>
      </c>
      <c r="D33" s="1" t="s">
        <v>55</v>
      </c>
      <c r="E33" t="s">
        <v>174</v>
      </c>
      <c r="F33" t="str">
        <f t="shared" si="0"/>
        <v>ph.i.a.i.rms01</v>
      </c>
      <c r="G33" t="s">
        <v>667</v>
      </c>
      <c r="H33" t="str">
        <f t="shared" si="1"/>
        <v>&lt;register address="24H" name="PhiAIrms01" type="R/W" description="Phase A Phase Compensation for Current Segment 0 and 1" designator="ph.i.a.i.rms01"/&gt;</v>
      </c>
    </row>
    <row r="34" spans="2:8">
      <c r="B34" s="1" t="s">
        <v>127</v>
      </c>
      <c r="C34" s="2" t="s">
        <v>151</v>
      </c>
      <c r="D34" s="1" t="s">
        <v>55</v>
      </c>
      <c r="E34" t="s">
        <v>175</v>
      </c>
      <c r="F34" t="str">
        <f t="shared" si="0"/>
        <v>ph.i.a.i.rms2</v>
      </c>
      <c r="G34" t="s">
        <v>668</v>
      </c>
      <c r="H34" t="str">
        <f t="shared" si="1"/>
        <v>&lt;register address="25H" name="PhiAIrms2" type="R/W" description="Phase A Phase Compensation for Current Segment 2" designator="ph.i.a.i.rms2"/&gt;</v>
      </c>
    </row>
    <row r="35" spans="2:8">
      <c r="B35" s="1" t="s">
        <v>128</v>
      </c>
      <c r="C35" s="2" t="s">
        <v>152</v>
      </c>
      <c r="D35" s="1" t="s">
        <v>55</v>
      </c>
      <c r="E35" t="s">
        <v>176</v>
      </c>
      <c r="F35" t="str">
        <f t="shared" si="0"/>
        <v>gain.a.i.rms01</v>
      </c>
      <c r="G35" t="s">
        <v>643</v>
      </c>
      <c r="H35" t="str">
        <f t="shared" si="1"/>
        <v>&lt;register address="26H" name="GainAIrms01" type="R/W" description="Phase A Gain Compensation for Current Segment 0 and 1" designator="gain.a.i.rms01"/&gt;</v>
      </c>
    </row>
    <row r="36" spans="2:8">
      <c r="B36" s="1" t="s">
        <v>129</v>
      </c>
      <c r="C36" s="2" t="s">
        <v>153</v>
      </c>
      <c r="D36" s="1" t="s">
        <v>55</v>
      </c>
      <c r="E36" t="s">
        <v>177</v>
      </c>
      <c r="F36" t="str">
        <f t="shared" si="0"/>
        <v>gain.a.i.rms2</v>
      </c>
      <c r="G36" t="s">
        <v>644</v>
      </c>
      <c r="H36" t="str">
        <f t="shared" si="1"/>
        <v>&lt;register address="27H" name="GainAIrms2" type="R/W" description="Phase A Gain Compensation for Current Segment 2" designator="gain.a.i.rms2"/&gt;</v>
      </c>
    </row>
    <row r="37" spans="2:8">
      <c r="B37" s="1" t="s">
        <v>130</v>
      </c>
      <c r="C37" s="2" t="s">
        <v>154</v>
      </c>
      <c r="D37" s="1" t="s">
        <v>55</v>
      </c>
      <c r="E37" t="s">
        <v>178</v>
      </c>
      <c r="F37" t="str">
        <f t="shared" si="0"/>
        <v>ph.i.b.i.rms01</v>
      </c>
      <c r="G37" t="s">
        <v>669</v>
      </c>
      <c r="H37" t="str">
        <f t="shared" si="1"/>
        <v>&lt;register address="28H" name="PhiBIrms01" type="R/W" description="Phase B Phase Compensation for Current Segment 0 and 1" designator="ph.i.b.i.rms01"/&gt;</v>
      </c>
    </row>
    <row r="38" spans="2:8">
      <c r="B38" s="1" t="s">
        <v>131</v>
      </c>
      <c r="C38" s="2" t="s">
        <v>155</v>
      </c>
      <c r="D38" s="1" t="s">
        <v>55</v>
      </c>
      <c r="E38" t="s">
        <v>179</v>
      </c>
      <c r="F38" t="str">
        <f t="shared" si="0"/>
        <v>ph.i.b.i.rms2</v>
      </c>
      <c r="G38" t="s">
        <v>670</v>
      </c>
      <c r="H38" t="str">
        <f t="shared" si="1"/>
        <v>&lt;register address="29H" name="PhiBIrms2" type="R/W" description="Phase B Phase Compensation for Current Segment 2" designator="ph.i.b.i.rms2"/&gt;</v>
      </c>
    </row>
    <row r="39" spans="2:8">
      <c r="B39" s="1" t="s">
        <v>132</v>
      </c>
      <c r="C39" s="2" t="s">
        <v>156</v>
      </c>
      <c r="D39" s="1" t="s">
        <v>55</v>
      </c>
      <c r="E39" t="s">
        <v>180</v>
      </c>
      <c r="F39" t="str">
        <f t="shared" si="0"/>
        <v>gain.b.i.rms01</v>
      </c>
      <c r="G39" t="s">
        <v>645</v>
      </c>
      <c r="H39" t="str">
        <f t="shared" si="1"/>
        <v>&lt;register address="2AH" name="GainBIrms01" type="R/W" description="Phase B Gain Compensation for Current Segment 0 and 1" designator="gain.b.i.rms01"/&gt;</v>
      </c>
    </row>
    <row r="40" spans="2:8">
      <c r="B40" s="1" t="s">
        <v>133</v>
      </c>
      <c r="C40" s="2" t="s">
        <v>157</v>
      </c>
      <c r="D40" s="1" t="s">
        <v>55</v>
      </c>
      <c r="E40" t="s">
        <v>181</v>
      </c>
      <c r="F40" t="str">
        <f t="shared" si="0"/>
        <v>gain.b.i.rms2</v>
      </c>
      <c r="G40" t="s">
        <v>646</v>
      </c>
      <c r="H40" t="str">
        <f t="shared" si="1"/>
        <v>&lt;register address="2BH" name="GainBIrms2" type="R/W" description="Phase B Gain Compensation for Current Segment 2" designator="gain.b.i.rms2"/&gt;</v>
      </c>
    </row>
    <row r="41" spans="2:8">
      <c r="B41" s="1" t="s">
        <v>134</v>
      </c>
      <c r="C41" s="2" t="s">
        <v>158</v>
      </c>
      <c r="D41" s="1" t="s">
        <v>55</v>
      </c>
      <c r="E41" t="s">
        <v>182</v>
      </c>
      <c r="F41" t="str">
        <f t="shared" si="0"/>
        <v>ph.i.c.i.rms01</v>
      </c>
      <c r="G41" t="s">
        <v>672</v>
      </c>
      <c r="H41" t="str">
        <f t="shared" si="1"/>
        <v>&lt;register address="2CH" name="PhiCIrms01" type="R/W" description="Phase C Phase Compensation for Current Segment 0 and 1" designator="ph.i.c.i.rms01"/&gt;</v>
      </c>
    </row>
    <row r="42" spans="2:8">
      <c r="B42" s="1" t="s">
        <v>135</v>
      </c>
      <c r="C42" s="2" t="s">
        <v>159</v>
      </c>
      <c r="D42" s="1" t="s">
        <v>55</v>
      </c>
      <c r="E42" t="s">
        <v>183</v>
      </c>
      <c r="F42" t="str">
        <f t="shared" si="0"/>
        <v>ph.i.c.i.rms2</v>
      </c>
      <c r="G42" t="s">
        <v>671</v>
      </c>
      <c r="H42" t="str">
        <f t="shared" si="1"/>
        <v>&lt;register address="2DH" name="PhiCIrms2" type="R/W" description="Phase C Phase Compensation for Current Segment 2" designator="ph.i.c.i.rms2"/&gt;</v>
      </c>
    </row>
    <row r="43" spans="2:8">
      <c r="B43" s="1" t="s">
        <v>136</v>
      </c>
      <c r="C43" s="2" t="s">
        <v>160</v>
      </c>
      <c r="D43" s="1" t="s">
        <v>55</v>
      </c>
      <c r="E43" t="s">
        <v>184</v>
      </c>
      <c r="F43" t="str">
        <f t="shared" si="0"/>
        <v>gain.c.i.rms01</v>
      </c>
      <c r="G43" t="s">
        <v>647</v>
      </c>
      <c r="H43" t="str">
        <f t="shared" si="1"/>
        <v>&lt;register address="2EH" name="GainCIrms01" type="R/W" description="Phase C Gain Compensation for Current Segment 0 and 1" designator="gain.c.i.rms01"/&gt;</v>
      </c>
    </row>
    <row r="44" spans="2:8">
      <c r="B44" s="1" t="s">
        <v>137</v>
      </c>
      <c r="C44" s="2" t="s">
        <v>161</v>
      </c>
      <c r="D44" s="1" t="s">
        <v>55</v>
      </c>
      <c r="E44" t="s">
        <v>185</v>
      </c>
      <c r="F44" t="str">
        <f t="shared" si="0"/>
        <v>gain.c.i.rms2</v>
      </c>
      <c r="G44" t="s">
        <v>648</v>
      </c>
      <c r="H44" t="str">
        <f t="shared" si="1"/>
        <v>&lt;register address="2FH" name="GainCIrms2" type="R/W" description="Phase C Gain Compensation for Current Segment 2" designator="gain.c.i.rms2"/&gt;</v>
      </c>
    </row>
    <row r="45" spans="2:8">
      <c r="B45" s="1" t="s">
        <v>138</v>
      </c>
      <c r="C45" s="2" t="s">
        <v>162</v>
      </c>
      <c r="D45" s="1" t="s">
        <v>55</v>
      </c>
      <c r="E45" t="s">
        <v>186</v>
      </c>
      <c r="F45" t="str">
        <f t="shared" si="0"/>
        <v>pl.const.h</v>
      </c>
      <c r="G45" t="s">
        <v>649</v>
      </c>
      <c r="H45" t="str">
        <f t="shared" si="1"/>
        <v>&lt;register address="31H" name="PLconstH" type="R/W" description="High Word of PL_Constant" designator="pl.const.h"/&gt;</v>
      </c>
    </row>
    <row r="46" spans="2:8">
      <c r="B46" s="1" t="s">
        <v>139</v>
      </c>
      <c r="C46" s="2" t="s">
        <v>163</v>
      </c>
      <c r="D46" s="1" t="s">
        <v>55</v>
      </c>
      <c r="E46" t="s">
        <v>187</v>
      </c>
      <c r="F46" t="str">
        <f t="shared" si="0"/>
        <v>pl.const.l</v>
      </c>
      <c r="G46" t="s">
        <v>650</v>
      </c>
      <c r="H46" t="str">
        <f t="shared" si="1"/>
        <v>&lt;register address="32H" name="PLconstL" type="R/W" description="Low Word of PL_Constant" designator="pl.const.l"/&gt;</v>
      </c>
    </row>
    <row r="47" spans="2:8">
      <c r="B47" s="1" t="s">
        <v>140</v>
      </c>
      <c r="C47" s="3" t="s">
        <v>164</v>
      </c>
      <c r="D47" s="1" t="s">
        <v>55</v>
      </c>
      <c r="E47" t="s">
        <v>188</v>
      </c>
      <c r="F47" t="str">
        <f t="shared" si="0"/>
        <v>m.mode0</v>
      </c>
      <c r="G47" t="s">
        <v>651</v>
      </c>
      <c r="H47" t="str">
        <f t="shared" si="1"/>
        <v>&lt;register address="33H" name="MMode0" type="R/W" description="Metering Method Configuration" designator="m.mode0"/&gt;</v>
      </c>
    </row>
    <row r="48" spans="2:8">
      <c r="B48" s="1" t="s">
        <v>141</v>
      </c>
      <c r="C48" s="3" t="s">
        <v>165</v>
      </c>
      <c r="D48" s="1" t="s">
        <v>55</v>
      </c>
      <c r="E48" t="s">
        <v>189</v>
      </c>
      <c r="F48" t="str">
        <f t="shared" si="0"/>
        <v>m.mode1</v>
      </c>
      <c r="G48" t="s">
        <v>652</v>
      </c>
      <c r="H48" t="str">
        <f t="shared" si="1"/>
        <v>&lt;register address="34H" name="MMode1" type="R/W" description="PGA Gain Configuration" designator="m.mode1"/&gt;</v>
      </c>
    </row>
    <row r="49" spans="2:8">
      <c r="B49" s="1" t="s">
        <v>142</v>
      </c>
      <c r="C49" s="1" t="s">
        <v>166</v>
      </c>
      <c r="D49" s="1" t="s">
        <v>55</v>
      </c>
      <c r="E49" t="s">
        <v>190</v>
      </c>
      <c r="F49" t="str">
        <f t="shared" si="0"/>
        <v>p.start.th</v>
      </c>
      <c r="G49" t="s">
        <v>653</v>
      </c>
      <c r="H49" t="str">
        <f t="shared" si="1"/>
        <v>&lt;register address="35H" name="PStartTh" type="R/W" description="Active Startup Power Threshold" designator="p.start.th"/&gt;</v>
      </c>
    </row>
    <row r="50" spans="2:8">
      <c r="B50" s="1" t="s">
        <v>143</v>
      </c>
      <c r="C50" s="1" t="s">
        <v>167</v>
      </c>
      <c r="D50" s="1" t="s">
        <v>55</v>
      </c>
      <c r="E50" t="s">
        <v>191</v>
      </c>
      <c r="F50" t="str">
        <f t="shared" si="0"/>
        <v>q.start.th</v>
      </c>
      <c r="G50" t="s">
        <v>654</v>
      </c>
      <c r="H50" t="str">
        <f t="shared" si="1"/>
        <v>&lt;register address="36H" name="QStartTh" type="R/W" description="Reactive Startup Power Threshold" designator="q.start.th"/&gt;</v>
      </c>
    </row>
    <row r="51" spans="2:8">
      <c r="B51" s="1" t="s">
        <v>144</v>
      </c>
      <c r="C51" s="1" t="s">
        <v>168</v>
      </c>
      <c r="D51" s="1" t="s">
        <v>55</v>
      </c>
      <c r="E51" t="s">
        <v>192</v>
      </c>
      <c r="F51" t="str">
        <f t="shared" si="0"/>
        <v>s.start.th</v>
      </c>
      <c r="G51" t="s">
        <v>655</v>
      </c>
      <c r="H51" t="str">
        <f t="shared" si="1"/>
        <v>&lt;register address="37H" name="SStartTh" type="R/W" description="Apparent Startup Power Threshold" designator="s.start.th"/&gt;</v>
      </c>
    </row>
    <row r="52" spans="2:8">
      <c r="B52" s="1" t="s">
        <v>145</v>
      </c>
      <c r="C52" s="1" t="s">
        <v>169</v>
      </c>
      <c r="D52" s="1" t="s">
        <v>55</v>
      </c>
      <c r="E52" t="s">
        <v>193</v>
      </c>
      <c r="F52" t="str">
        <f t="shared" si="0"/>
        <v>p.phase.th</v>
      </c>
      <c r="G52" t="s">
        <v>656</v>
      </c>
      <c r="H52" t="str">
        <f t="shared" si="1"/>
        <v>&lt;register address="38H" name="PPhaseTh" type="R/W" description="Startup Power Threshold for Any Phase (Active Energy Accumulation)" designator="p.phase.th"/&gt;</v>
      </c>
    </row>
    <row r="53" spans="2:8">
      <c r="B53" s="1" t="s">
        <v>146</v>
      </c>
      <c r="C53" s="1" t="s">
        <v>170</v>
      </c>
      <c r="D53" s="1" t="s">
        <v>55</v>
      </c>
      <c r="E53" t="s">
        <v>194</v>
      </c>
      <c r="F53" t="str">
        <f t="shared" si="0"/>
        <v>q.phase.th</v>
      </c>
      <c r="G53" t="s">
        <v>657</v>
      </c>
      <c r="H53" t="str">
        <f t="shared" si="1"/>
        <v>&lt;register address="39H" name="QPhaseTh" type="R/W" description="Startup Power Threshold for Any Phase (ReActive Energy Accumulation)" designator="q.phase.th"/&gt;</v>
      </c>
    </row>
    <row r="54" spans="2:8">
      <c r="B54" s="1" t="s">
        <v>147</v>
      </c>
      <c r="C54" s="1" t="s">
        <v>171</v>
      </c>
      <c r="D54" s="1" t="s">
        <v>55</v>
      </c>
      <c r="E54" t="s">
        <v>195</v>
      </c>
      <c r="F54" t="str">
        <f t="shared" si="0"/>
        <v>s.phase.th</v>
      </c>
      <c r="G54" t="s">
        <v>658</v>
      </c>
      <c r="H54" t="str">
        <f t="shared" si="1"/>
        <v>&lt;register address="3AH" name="SPhaseTh" type="R/W" description="Startup Power Threshold for Any Phase (Apparent Energy Accumulation)" designator="s.phase.th"/&gt;</v>
      </c>
    </row>
    <row r="55" spans="2:8">
      <c r="B55" s="1" t="s">
        <v>196</v>
      </c>
      <c r="C55" t="s">
        <v>197</v>
      </c>
      <c r="D55" s="1" t="s">
        <v>55</v>
      </c>
      <c r="E55" s="1" t="s">
        <v>256</v>
      </c>
      <c r="F55" t="str">
        <f t="shared" si="0"/>
        <v>p.offset.a</v>
      </c>
      <c r="G55" t="s">
        <v>659</v>
      </c>
      <c r="H55" t="str">
        <f t="shared" si="1"/>
        <v>&lt;register address="41H" name="PoffsetA" type="R/W" description="Phase A Active Power offset" designator="p.offset.a"/&gt;</v>
      </c>
    </row>
    <row r="56" spans="2:8">
      <c r="B56" s="1" t="s">
        <v>198</v>
      </c>
      <c r="C56" t="s">
        <v>199</v>
      </c>
      <c r="D56" s="1" t="s">
        <v>55</v>
      </c>
      <c r="E56" s="1" t="s">
        <v>257</v>
      </c>
      <c r="F56" t="str">
        <f t="shared" si="0"/>
        <v>q.offset.a</v>
      </c>
      <c r="G56" t="s">
        <v>660</v>
      </c>
      <c r="H56" t="str">
        <f t="shared" si="1"/>
        <v>&lt;register address="42H" name="QoffsetA" type="R/W" description="Phase A Reactive Power offset" designator="q.offset.a"/&gt;</v>
      </c>
    </row>
    <row r="57" spans="2:8">
      <c r="B57" s="1" t="s">
        <v>200</v>
      </c>
      <c r="C57" t="s">
        <v>201</v>
      </c>
      <c r="D57" s="1" t="s">
        <v>55</v>
      </c>
      <c r="E57" s="1" t="s">
        <v>258</v>
      </c>
      <c r="F57" t="str">
        <f t="shared" si="0"/>
        <v>p.offset.b</v>
      </c>
      <c r="G57" t="s">
        <v>661</v>
      </c>
      <c r="H57" t="str">
        <f t="shared" si="1"/>
        <v>&lt;register address="43H" name="PoffsetB" type="R/W" description="Phase B Active Power offset" designator="p.offset.b"/&gt;</v>
      </c>
    </row>
    <row r="58" spans="2:8">
      <c r="B58" s="1" t="s">
        <v>202</v>
      </c>
      <c r="C58" t="s">
        <v>203</v>
      </c>
      <c r="D58" s="1" t="s">
        <v>55</v>
      </c>
      <c r="E58" s="1" t="s">
        <v>259</v>
      </c>
      <c r="F58" t="str">
        <f t="shared" si="0"/>
        <v>q.offset.b</v>
      </c>
      <c r="G58" t="s">
        <v>662</v>
      </c>
      <c r="H58" t="str">
        <f t="shared" si="1"/>
        <v>&lt;register address="44H" name="QoffsetB" type="R/W" description="Phase B Reactive Power offset" designator="q.offset.b"/&gt;</v>
      </c>
    </row>
    <row r="59" spans="2:8">
      <c r="B59" s="1" t="s">
        <v>204</v>
      </c>
      <c r="C59" t="s">
        <v>205</v>
      </c>
      <c r="D59" s="1" t="s">
        <v>55</v>
      </c>
      <c r="E59" s="1" t="s">
        <v>260</v>
      </c>
      <c r="F59" t="str">
        <f t="shared" si="0"/>
        <v>p.offset.c</v>
      </c>
      <c r="G59" t="s">
        <v>663</v>
      </c>
      <c r="H59" t="str">
        <f t="shared" si="1"/>
        <v>&lt;register address="45H" name="PoffsetC" type="R/W" description="Phase C Active Power offset" designator="p.offset.c"/&gt;</v>
      </c>
    </row>
    <row r="60" spans="2:8">
      <c r="B60" s="1" t="s">
        <v>206</v>
      </c>
      <c r="C60" t="s">
        <v>207</v>
      </c>
      <c r="D60" s="1" t="s">
        <v>55</v>
      </c>
      <c r="E60" s="1" t="s">
        <v>261</v>
      </c>
      <c r="F60" t="str">
        <f t="shared" si="0"/>
        <v>q.offset.c</v>
      </c>
      <c r="G60" t="s">
        <v>664</v>
      </c>
      <c r="H60" t="str">
        <f t="shared" si="1"/>
        <v>&lt;register address="46H" name="QoffsetC" type="R/W" description="Phase C Reactive Power offset" designator="q.offset.c"/&gt;</v>
      </c>
    </row>
    <row r="61" spans="2:8">
      <c r="B61" s="1" t="s">
        <v>208</v>
      </c>
      <c r="C61" t="s">
        <v>209</v>
      </c>
      <c r="D61" s="1" t="s">
        <v>55</v>
      </c>
      <c r="E61" s="1" t="s">
        <v>262</v>
      </c>
      <c r="F61" t="str">
        <f t="shared" si="0"/>
        <v>p.q.gain.a</v>
      </c>
      <c r="G61" t="s">
        <v>665</v>
      </c>
      <c r="H61" t="str">
        <f t="shared" si="1"/>
        <v>&lt;register address="47H" name="PQGainA" type="R/W" description="Phase A Calibration Gain" designator="p.q.gain.a"/&gt;</v>
      </c>
    </row>
    <row r="62" spans="2:8">
      <c r="B62" s="1" t="s">
        <v>210</v>
      </c>
      <c r="C62" t="s">
        <v>211</v>
      </c>
      <c r="D62" s="1" t="s">
        <v>55</v>
      </c>
      <c r="E62" s="1" t="s">
        <v>263</v>
      </c>
      <c r="F62" t="str">
        <f t="shared" si="0"/>
        <v>ph.i.a</v>
      </c>
      <c r="G62" t="s">
        <v>666</v>
      </c>
      <c r="H62" t="str">
        <f t="shared" si="1"/>
        <v>&lt;register address="48H" name="PhiA" type="R/W" description="Phase A Calibration Phase Angle" designator="ph.i.a"/&gt;</v>
      </c>
    </row>
    <row r="63" spans="2:8">
      <c r="B63" s="1" t="s">
        <v>212</v>
      </c>
      <c r="C63" t="s">
        <v>213</v>
      </c>
      <c r="D63" s="1" t="s">
        <v>55</v>
      </c>
      <c r="E63" s="1" t="s">
        <v>264</v>
      </c>
      <c r="F63" t="str">
        <f t="shared" si="0"/>
        <v>p.q.gain.b</v>
      </c>
      <c r="G63" t="s">
        <v>673</v>
      </c>
      <c r="H63" t="str">
        <f t="shared" si="1"/>
        <v>&lt;register address="49H" name="PQGainB" type="R/W" description="Phase B Calibration Gain" designator="p.q.gain.b"/&gt;</v>
      </c>
    </row>
    <row r="64" spans="2:8">
      <c r="B64" s="1" t="s">
        <v>214</v>
      </c>
      <c r="C64" t="s">
        <v>215</v>
      </c>
      <c r="D64" s="1" t="s">
        <v>55</v>
      </c>
      <c r="E64" s="1" t="s">
        <v>265</v>
      </c>
      <c r="F64" t="str">
        <f t="shared" si="0"/>
        <v>ph.i.b</v>
      </c>
      <c r="G64" t="s">
        <v>674</v>
      </c>
      <c r="H64" t="str">
        <f t="shared" si="1"/>
        <v>&lt;register address="4AH" name="PhiB" type="R/W" description="Phase B Calibration Phase Angle" designator="ph.i.b"/&gt;</v>
      </c>
    </row>
    <row r="65" spans="2:8">
      <c r="B65" s="1" t="s">
        <v>216</v>
      </c>
      <c r="C65" t="s">
        <v>217</v>
      </c>
      <c r="D65" s="1" t="s">
        <v>55</v>
      </c>
      <c r="E65" s="1" t="s">
        <v>266</v>
      </c>
      <c r="F65" t="str">
        <f t="shared" si="0"/>
        <v>p.q.gain.c</v>
      </c>
      <c r="G65" t="s">
        <v>675</v>
      </c>
      <c r="H65" t="str">
        <f t="shared" si="1"/>
        <v>&lt;register address="4BH" name="PQGainC" type="R/W" description="Phase C Calibration Gain" designator="p.q.gain.c"/&gt;</v>
      </c>
    </row>
    <row r="66" spans="2:8">
      <c r="B66" s="1" t="s">
        <v>218</v>
      </c>
      <c r="C66" t="s">
        <v>219</v>
      </c>
      <c r="D66" s="1" t="s">
        <v>55</v>
      </c>
      <c r="E66" s="1" t="s">
        <v>267</v>
      </c>
      <c r="F66" t="str">
        <f t="shared" ref="F66:F129" si="2">LOWER(G66)</f>
        <v>ph.i.c</v>
      </c>
      <c r="G66" t="s">
        <v>676</v>
      </c>
      <c r="H66" t="str">
        <f t="shared" ref="H66:H129" si="3">CONCATENATE("&lt;register address=""",B66,""" name=""",C66,""" type=""",D66,""" description=""",E66,""" designator=""",F66,"""/&gt;")</f>
        <v>&lt;register address="4CH" name="PhiC" type="R/W" description="Phase C Calibration Phase Angle" designator="ph.i.c"/&gt;</v>
      </c>
    </row>
    <row r="67" spans="2:8">
      <c r="B67" s="1" t="s">
        <v>220</v>
      </c>
      <c r="C67" t="s">
        <v>221</v>
      </c>
      <c r="D67" s="1" t="s">
        <v>55</v>
      </c>
      <c r="E67" s="1" t="s">
        <v>268</v>
      </c>
      <c r="F67" t="str">
        <f t="shared" si="2"/>
        <v>p.offset.a.f</v>
      </c>
      <c r="G67" t="s">
        <v>677</v>
      </c>
      <c r="H67" t="str">
        <f t="shared" si="3"/>
        <v>&lt;register address="51H" name="PoffsetAF" type="R/W" description="Phase A Fundamental Active Power offset" designator="p.offset.a.f"/&gt;</v>
      </c>
    </row>
    <row r="68" spans="2:8">
      <c r="B68" s="1" t="s">
        <v>222</v>
      </c>
      <c r="C68" t="s">
        <v>223</v>
      </c>
      <c r="D68" s="1" t="s">
        <v>55</v>
      </c>
      <c r="E68" s="1" t="s">
        <v>269</v>
      </c>
      <c r="F68" t="str">
        <f t="shared" si="2"/>
        <v>p.offset.b.f</v>
      </c>
      <c r="G68" t="s">
        <v>678</v>
      </c>
      <c r="H68" t="str">
        <f t="shared" si="3"/>
        <v>&lt;register address="52H" name="PoffsetBF" type="R/W" description="Phase B Fundamental Active Power offset" designator="p.offset.b.f"/&gt;</v>
      </c>
    </row>
    <row r="69" spans="2:8">
      <c r="B69" s="1" t="s">
        <v>224</v>
      </c>
      <c r="C69" t="s">
        <v>225</v>
      </c>
      <c r="D69" s="1" t="s">
        <v>55</v>
      </c>
      <c r="E69" s="1" t="s">
        <v>270</v>
      </c>
      <c r="F69" t="str">
        <f t="shared" si="2"/>
        <v>p.offset.c.f</v>
      </c>
      <c r="G69" t="s">
        <v>679</v>
      </c>
      <c r="H69" t="str">
        <f t="shared" si="3"/>
        <v>&lt;register address="53H" name="PoffsetCF" type="R/W" description="Phase C Fundamental Active Power offset" designator="p.offset.c.f"/&gt;</v>
      </c>
    </row>
    <row r="70" spans="2:8">
      <c r="B70" s="1" t="s">
        <v>226</v>
      </c>
      <c r="C70" t="s">
        <v>227</v>
      </c>
      <c r="D70" s="1" t="s">
        <v>55</v>
      </c>
      <c r="E70" s="1" t="s">
        <v>271</v>
      </c>
      <c r="F70" t="str">
        <f t="shared" si="2"/>
        <v>p.gain.a.f</v>
      </c>
      <c r="G70" t="s">
        <v>680</v>
      </c>
      <c r="H70" t="str">
        <f t="shared" si="3"/>
        <v>&lt;register address="54H" name="PGainAF" type="R/W" description="Phase A Fundamental Calibration Gain" designator="p.gain.a.f"/&gt;</v>
      </c>
    </row>
    <row r="71" spans="2:8">
      <c r="B71" s="1" t="s">
        <v>228</v>
      </c>
      <c r="C71" t="s">
        <v>229</v>
      </c>
      <c r="D71" s="1" t="s">
        <v>55</v>
      </c>
      <c r="E71" s="1" t="s">
        <v>272</v>
      </c>
      <c r="F71" t="str">
        <f t="shared" si="2"/>
        <v>p.gain.b.f</v>
      </c>
      <c r="G71" t="s">
        <v>681</v>
      </c>
      <c r="H71" t="str">
        <f t="shared" si="3"/>
        <v>&lt;register address="55H" name="PGainBF" type="R/W" description="Phase B Fundamental Calibration Gain" designator="p.gain.b.f"/&gt;</v>
      </c>
    </row>
    <row r="72" spans="2:8">
      <c r="B72" s="1" t="s">
        <v>230</v>
      </c>
      <c r="C72" t="s">
        <v>231</v>
      </c>
      <c r="D72" s="1" t="s">
        <v>55</v>
      </c>
      <c r="E72" s="1" t="s">
        <v>273</v>
      </c>
      <c r="F72" t="str">
        <f t="shared" si="2"/>
        <v>p.gain.c.f</v>
      </c>
      <c r="G72" t="s">
        <v>682</v>
      </c>
      <c r="H72" t="str">
        <f t="shared" si="3"/>
        <v>&lt;register address="56H" name="PGainCF" type="R/W" description="Phase C Fundamental Calibration Gain" designator="p.gain.c.f"/&gt;</v>
      </c>
    </row>
    <row r="73" spans="2:8">
      <c r="B73" s="1" t="s">
        <v>232</v>
      </c>
      <c r="C73" t="s">
        <v>233</v>
      </c>
      <c r="D73" s="1" t="s">
        <v>55</v>
      </c>
      <c r="E73" s="1" t="s">
        <v>274</v>
      </c>
      <c r="F73" t="str">
        <f t="shared" si="2"/>
        <v>u.gain.a</v>
      </c>
      <c r="G73" t="s">
        <v>683</v>
      </c>
      <c r="H73" t="str">
        <f t="shared" si="3"/>
        <v>&lt;register address="61H" name="UgainA" type="R/W" description="Phase A Voltage RMS Gain" designator="u.gain.a"/&gt;</v>
      </c>
    </row>
    <row r="74" spans="2:8">
      <c r="B74" s="1" t="s">
        <v>234</v>
      </c>
      <c r="C74" t="s">
        <v>235</v>
      </c>
      <c r="D74" s="1" t="s">
        <v>55</v>
      </c>
      <c r="E74" s="1" t="s">
        <v>275</v>
      </c>
      <c r="F74" t="str">
        <f t="shared" si="2"/>
        <v>i.gain.a</v>
      </c>
      <c r="G74" t="s">
        <v>684</v>
      </c>
      <c r="H74" t="str">
        <f t="shared" si="3"/>
        <v>&lt;register address="62H" name="IgainA" type="R/W" description="Phase A Current RMS Gain" designator="i.gain.a"/&gt;</v>
      </c>
    </row>
    <row r="75" spans="2:8">
      <c r="B75" s="1" t="s">
        <v>236</v>
      </c>
      <c r="C75" t="s">
        <v>237</v>
      </c>
      <c r="D75" s="1" t="s">
        <v>55</v>
      </c>
      <c r="E75" s="1" t="s">
        <v>276</v>
      </c>
      <c r="F75" t="str">
        <f t="shared" si="2"/>
        <v>u.offset.a</v>
      </c>
      <c r="G75" t="s">
        <v>685</v>
      </c>
      <c r="H75" t="str">
        <f t="shared" si="3"/>
        <v>&lt;register address="63H" name="UoffsetA" type="R/W" description="Phase A Voltage RMS offset" designator="u.offset.a"/&gt;</v>
      </c>
    </row>
    <row r="76" spans="2:8">
      <c r="B76" s="1" t="s">
        <v>238</v>
      </c>
      <c r="C76" t="s">
        <v>239</v>
      </c>
      <c r="D76" s="1" t="s">
        <v>55</v>
      </c>
      <c r="E76" s="1" t="s">
        <v>277</v>
      </c>
      <c r="F76" t="str">
        <f t="shared" si="2"/>
        <v>i.offset.a</v>
      </c>
      <c r="G76" t="s">
        <v>686</v>
      </c>
      <c r="H76" t="str">
        <f t="shared" si="3"/>
        <v>&lt;register address="64H" name="IoffsetA" type="R/W" description="Phase A Current RMS offset" designator="i.offset.a"/&gt;</v>
      </c>
    </row>
    <row r="77" spans="2:8">
      <c r="B77" s="1" t="s">
        <v>240</v>
      </c>
      <c r="C77" t="s">
        <v>241</v>
      </c>
      <c r="D77" s="1" t="s">
        <v>55</v>
      </c>
      <c r="E77" s="1" t="s">
        <v>278</v>
      </c>
      <c r="F77" t="str">
        <f t="shared" si="2"/>
        <v>u.gain.b</v>
      </c>
      <c r="G77" t="s">
        <v>687</v>
      </c>
      <c r="H77" t="str">
        <f t="shared" si="3"/>
        <v>&lt;register address="65H" name="UgainB" type="R/W" description="Phase B Voltage RMS Gain" designator="u.gain.b"/&gt;</v>
      </c>
    </row>
    <row r="78" spans="2:8">
      <c r="B78" s="1" t="s">
        <v>242</v>
      </c>
      <c r="C78" t="s">
        <v>243</v>
      </c>
      <c r="D78" s="1" t="s">
        <v>55</v>
      </c>
      <c r="E78" s="1" t="s">
        <v>279</v>
      </c>
      <c r="F78" t="str">
        <f t="shared" si="2"/>
        <v>i.gain.b</v>
      </c>
      <c r="G78" t="s">
        <v>688</v>
      </c>
      <c r="H78" t="str">
        <f t="shared" si="3"/>
        <v>&lt;register address="66H" name="IgainB" type="R/W" description="Phase B Current RMS Gain" designator="i.gain.b"/&gt;</v>
      </c>
    </row>
    <row r="79" spans="2:8">
      <c r="B79" s="1" t="s">
        <v>244</v>
      </c>
      <c r="C79" t="s">
        <v>245</v>
      </c>
      <c r="D79" s="1" t="s">
        <v>55</v>
      </c>
      <c r="E79" s="1" t="s">
        <v>280</v>
      </c>
      <c r="F79" t="str">
        <f t="shared" si="2"/>
        <v>u.offset.b</v>
      </c>
      <c r="G79" t="s">
        <v>689</v>
      </c>
      <c r="H79" t="str">
        <f t="shared" si="3"/>
        <v>&lt;register address="67H" name="UoffsetB" type="R/W" description="Phase B Voltage RMS offset" designator="u.offset.b"/&gt;</v>
      </c>
    </row>
    <row r="80" spans="2:8">
      <c r="B80" s="1" t="s">
        <v>246</v>
      </c>
      <c r="C80" t="s">
        <v>247</v>
      </c>
      <c r="D80" s="1" t="s">
        <v>55</v>
      </c>
      <c r="E80" s="1" t="s">
        <v>281</v>
      </c>
      <c r="F80" t="str">
        <f t="shared" si="2"/>
        <v>i.offset.b</v>
      </c>
      <c r="G80" t="s">
        <v>690</v>
      </c>
      <c r="H80" t="str">
        <f t="shared" si="3"/>
        <v>&lt;register address="68H" name="IoffsetB" type="R/W" description="Phase B Current RMS offset" designator="i.offset.b"/&gt;</v>
      </c>
    </row>
    <row r="81" spans="2:8">
      <c r="B81" s="1" t="s">
        <v>248</v>
      </c>
      <c r="C81" t="s">
        <v>249</v>
      </c>
      <c r="D81" s="1" t="s">
        <v>55</v>
      </c>
      <c r="E81" s="1" t="s">
        <v>282</v>
      </c>
      <c r="F81" t="str">
        <f t="shared" si="2"/>
        <v>u.gain.c</v>
      </c>
      <c r="G81" t="s">
        <v>691</v>
      </c>
      <c r="H81" t="str">
        <f t="shared" si="3"/>
        <v>&lt;register address="69H" name="UgainC" type="R/W" description="Phase C Voltage RMS Gain" designator="u.gain.c"/&gt;</v>
      </c>
    </row>
    <row r="82" spans="2:8">
      <c r="B82" s="1" t="s">
        <v>250</v>
      </c>
      <c r="C82" t="s">
        <v>251</v>
      </c>
      <c r="D82" s="1" t="s">
        <v>55</v>
      </c>
      <c r="E82" s="1" t="s">
        <v>283</v>
      </c>
      <c r="F82" t="str">
        <f t="shared" si="2"/>
        <v>i.gain.c</v>
      </c>
      <c r="G82" t="s">
        <v>692</v>
      </c>
      <c r="H82" t="str">
        <f t="shared" si="3"/>
        <v>&lt;register address="6AH" name="IgainC" type="R/W" description="Phase C Current RMS Gain" designator="i.gain.c"/&gt;</v>
      </c>
    </row>
    <row r="83" spans="2:8">
      <c r="B83" s="1" t="s">
        <v>252</v>
      </c>
      <c r="C83" t="s">
        <v>253</v>
      </c>
      <c r="D83" s="1" t="s">
        <v>55</v>
      </c>
      <c r="E83" s="1" t="s">
        <v>284</v>
      </c>
      <c r="F83" t="str">
        <f t="shared" si="2"/>
        <v>u.offset.c</v>
      </c>
      <c r="G83" t="s">
        <v>693</v>
      </c>
      <c r="H83" t="str">
        <f t="shared" si="3"/>
        <v>&lt;register address="6BH" name="UoffsetC" type="R/W" description="Phase C Voltage RMS offset" designator="u.offset.c"/&gt;</v>
      </c>
    </row>
    <row r="84" spans="2:8">
      <c r="B84" s="1" t="s">
        <v>254</v>
      </c>
      <c r="C84" t="s">
        <v>255</v>
      </c>
      <c r="D84" s="1" t="s">
        <v>55</v>
      </c>
      <c r="E84" s="1" t="s">
        <v>285</v>
      </c>
      <c r="F84" t="str">
        <f t="shared" si="2"/>
        <v>i.offset.c</v>
      </c>
      <c r="G84" t="s">
        <v>694</v>
      </c>
      <c r="H84" t="str">
        <f t="shared" si="3"/>
        <v>&lt;register address="6CH" name="IoffsetC" type="R/W" description="Phase C Current RMS offset" designator="i.offset.c"/&gt;</v>
      </c>
    </row>
    <row r="85" spans="2:8">
      <c r="B85" s="1" t="s">
        <v>286</v>
      </c>
      <c r="C85" t="s">
        <v>287</v>
      </c>
      <c r="D85" t="s">
        <v>55</v>
      </c>
      <c r="E85" s="1" t="s">
        <v>310</v>
      </c>
      <c r="F85" t="str">
        <f t="shared" si="2"/>
        <v>soft.reset</v>
      </c>
      <c r="G85" t="s">
        <v>695</v>
      </c>
      <c r="H85" t="str">
        <f t="shared" si="3"/>
        <v>&lt;register address="70H" name="SoftReset" type="R/W" description="Software Reset" designator="soft.reset"/&gt;</v>
      </c>
    </row>
    <row r="86" spans="2:8">
      <c r="B86" s="1" t="s">
        <v>288</v>
      </c>
      <c r="C86" t="s">
        <v>289</v>
      </c>
      <c r="D86" t="s">
        <v>290</v>
      </c>
      <c r="E86" s="1" t="s">
        <v>311</v>
      </c>
      <c r="F86" t="str">
        <f t="shared" si="2"/>
        <v>emm.state0</v>
      </c>
      <c r="G86" t="s">
        <v>696</v>
      </c>
      <c r="H86" t="str">
        <f t="shared" si="3"/>
        <v>&lt;register address="71H" name="EMMState0" type="R" description="EMM State 0" designator="emm.state0"/&gt;</v>
      </c>
    </row>
    <row r="87" spans="2:8">
      <c r="B87" s="1" t="s">
        <v>291</v>
      </c>
      <c r="C87" t="s">
        <v>292</v>
      </c>
      <c r="D87" t="s">
        <v>290</v>
      </c>
      <c r="E87" s="1" t="s">
        <v>312</v>
      </c>
      <c r="F87" t="str">
        <f t="shared" si="2"/>
        <v>emm.state1</v>
      </c>
      <c r="G87" t="s">
        <v>697</v>
      </c>
      <c r="H87" t="str">
        <f t="shared" si="3"/>
        <v>&lt;register address="72H" name="EMMState1" type="R" description="EMM State 1" designator="emm.state1"/&gt;</v>
      </c>
    </row>
    <row r="88" spans="2:8">
      <c r="B88" s="1" t="s">
        <v>293</v>
      </c>
      <c r="C88" t="s">
        <v>294</v>
      </c>
      <c r="D88" t="s">
        <v>295</v>
      </c>
      <c r="E88" s="1" t="s">
        <v>313</v>
      </c>
      <c r="F88" t="str">
        <f t="shared" si="2"/>
        <v>emm.int.state0</v>
      </c>
      <c r="G88" t="s">
        <v>698</v>
      </c>
      <c r="H88" t="str">
        <f t="shared" si="3"/>
        <v>&lt;register address="73H" name="EMMIntState0" type="R/W1C" description="EMM Interrupt Status 0" designator="emm.int.state0"/&gt;</v>
      </c>
    </row>
    <row r="89" spans="2:8">
      <c r="B89" s="1" t="s">
        <v>296</v>
      </c>
      <c r="C89" t="s">
        <v>297</v>
      </c>
      <c r="D89" t="s">
        <v>295</v>
      </c>
      <c r="E89" s="1" t="s">
        <v>314</v>
      </c>
      <c r="F89" t="str">
        <f t="shared" si="2"/>
        <v>emm.int.state1</v>
      </c>
      <c r="G89" t="s">
        <v>699</v>
      </c>
      <c r="H89" t="str">
        <f t="shared" si="3"/>
        <v>&lt;register address="74H" name="EMMIntState1" type="R/W1C" description="EMM Interrupt Status 1" designator="emm.int.state1"/&gt;</v>
      </c>
    </row>
    <row r="90" spans="2:8">
      <c r="B90" s="1" t="s">
        <v>298</v>
      </c>
      <c r="C90" t="s">
        <v>299</v>
      </c>
      <c r="D90" t="s">
        <v>55</v>
      </c>
      <c r="E90" s="1" t="s">
        <v>315</v>
      </c>
      <c r="F90" t="str">
        <f t="shared" si="2"/>
        <v>emm.int.en0</v>
      </c>
      <c r="G90" t="s">
        <v>700</v>
      </c>
      <c r="H90" t="str">
        <f t="shared" si="3"/>
        <v>&lt;register address="75H" name="EMMIntEn0" type="R/W" description="EMM Interrupt Enable 0" designator="emm.int.en0"/&gt;</v>
      </c>
    </row>
    <row r="91" spans="2:8">
      <c r="B91" s="1" t="s">
        <v>300</v>
      </c>
      <c r="C91" t="s">
        <v>301</v>
      </c>
      <c r="D91" t="s">
        <v>55</v>
      </c>
      <c r="E91" s="1" t="s">
        <v>316</v>
      </c>
      <c r="F91" t="str">
        <f t="shared" si="2"/>
        <v>emm.int.en1</v>
      </c>
      <c r="G91" t="s">
        <v>701</v>
      </c>
      <c r="H91" t="str">
        <f t="shared" si="3"/>
        <v>&lt;register address="76H" name="EMMIntEn1" type="R/W" description="EMM Interrupt Enable 1" designator="emm.int.en1"/&gt;</v>
      </c>
    </row>
    <row r="92" spans="2:8">
      <c r="B92" s="1" t="s">
        <v>302</v>
      </c>
      <c r="C92" t="s">
        <v>303</v>
      </c>
      <c r="D92" t="s">
        <v>290</v>
      </c>
      <c r="E92" s="1" t="s">
        <v>317</v>
      </c>
      <c r="F92" t="str">
        <f t="shared" si="2"/>
        <v>last.spi.data</v>
      </c>
      <c r="G92" t="s">
        <v>702</v>
      </c>
      <c r="H92" t="str">
        <f t="shared" si="3"/>
        <v>&lt;register address="78H" name="LastSPIData" type="R" description="Last Read/Write SPI Value" designator="last.spi.data"/&gt;</v>
      </c>
    </row>
    <row r="93" spans="2:8">
      <c r="B93" s="1" t="s">
        <v>304</v>
      </c>
      <c r="C93" t="s">
        <v>305</v>
      </c>
      <c r="D93" t="s">
        <v>290</v>
      </c>
      <c r="E93" s="1" t="s">
        <v>318</v>
      </c>
      <c r="F93" t="str">
        <f t="shared" si="2"/>
        <v>crc.err.status</v>
      </c>
      <c r="G93" t="s">
        <v>703</v>
      </c>
      <c r="H93" t="str">
        <f t="shared" si="3"/>
        <v>&lt;register address="79H" name="CRCErrStatus" type="R" description="CRC Error Status" designator="crc.err.status"/&gt;</v>
      </c>
    </row>
    <row r="94" spans="2:8">
      <c r="B94" s="1" t="s">
        <v>306</v>
      </c>
      <c r="C94" t="s">
        <v>307</v>
      </c>
      <c r="D94" t="s">
        <v>55</v>
      </c>
      <c r="E94" s="1" t="s">
        <v>319</v>
      </c>
      <c r="F94" t="str">
        <f t="shared" si="2"/>
        <v>crc.digest</v>
      </c>
      <c r="G94" t="s">
        <v>704</v>
      </c>
      <c r="H94" t="str">
        <f t="shared" si="3"/>
        <v>&lt;register address="7AH" name="CRCDigest" type="R/W" description="CRC Digest" designator="crc.digest"/&gt;</v>
      </c>
    </row>
    <row r="95" spans="2:8">
      <c r="B95" s="1" t="s">
        <v>308</v>
      </c>
      <c r="C95" t="s">
        <v>309</v>
      </c>
      <c r="D95" t="s">
        <v>55</v>
      </c>
      <c r="E95" s="1" t="s">
        <v>320</v>
      </c>
      <c r="F95" t="str">
        <f t="shared" si="2"/>
        <v>cfg.reg.acc.en</v>
      </c>
      <c r="G95" t="s">
        <v>705</v>
      </c>
      <c r="H95" t="str">
        <f t="shared" si="3"/>
        <v>&lt;register address="7FH" name="CfgRegAccEn" type="R/W" description="Configure Register Access Enable" designator="cfg.reg.acc.en"/&gt;</v>
      </c>
    </row>
    <row r="96" spans="2:8">
      <c r="B96" s="1" t="s">
        <v>321</v>
      </c>
      <c r="C96" t="s">
        <v>322</v>
      </c>
      <c r="D96" t="s">
        <v>323</v>
      </c>
      <c r="E96" s="1" t="s">
        <v>362</v>
      </c>
      <c r="F96" t="str">
        <f t="shared" si="2"/>
        <v>a.p.energy.t</v>
      </c>
      <c r="G96" t="s">
        <v>710</v>
      </c>
      <c r="H96" t="str">
        <f t="shared" si="3"/>
        <v>&lt;register address="80H" name="APenergyT" type="R/C" description="Total Forward Active Energy" designator="a.p.energy.t"/&gt;</v>
      </c>
    </row>
    <row r="97" spans="2:8">
      <c r="B97" s="1" t="s">
        <v>324</v>
      </c>
      <c r="C97" t="s">
        <v>325</v>
      </c>
      <c r="D97" t="s">
        <v>323</v>
      </c>
      <c r="E97" s="1" t="s">
        <v>363</v>
      </c>
      <c r="F97" t="str">
        <f t="shared" si="2"/>
        <v>a.p.energy.a</v>
      </c>
      <c r="G97" t="s">
        <v>706</v>
      </c>
      <c r="H97" t="str">
        <f t="shared" si="3"/>
        <v>&lt;register address="81H" name="APenergyA" type="R/C" description="Phase A Forward Active Energy" designator="a.p.energy.a"/&gt;</v>
      </c>
    </row>
    <row r="98" spans="2:8">
      <c r="B98" s="1" t="s">
        <v>326</v>
      </c>
      <c r="C98" t="s">
        <v>327</v>
      </c>
      <c r="D98" t="s">
        <v>323</v>
      </c>
      <c r="E98" s="1" t="s">
        <v>364</v>
      </c>
      <c r="F98" t="str">
        <f t="shared" si="2"/>
        <v>a.p.energy.b</v>
      </c>
      <c r="G98" t="s">
        <v>707</v>
      </c>
      <c r="H98" t="str">
        <f t="shared" si="3"/>
        <v>&lt;register address="82H" name="APenergyB" type="R/C" description="Phase B Forward Active Energy" designator="a.p.energy.b"/&gt;</v>
      </c>
    </row>
    <row r="99" spans="2:8">
      <c r="B99" s="1" t="s">
        <v>328</v>
      </c>
      <c r="C99" t="s">
        <v>329</v>
      </c>
      <c r="D99" t="s">
        <v>323</v>
      </c>
      <c r="E99" s="1" t="s">
        <v>365</v>
      </c>
      <c r="F99" t="str">
        <f t="shared" si="2"/>
        <v>a.p.energy.c</v>
      </c>
      <c r="G99" t="s">
        <v>708</v>
      </c>
      <c r="H99" t="str">
        <f t="shared" si="3"/>
        <v>&lt;register address="83H" name="APenergyC" type="R/C" description="Phase C Forward Active Energy" designator="a.p.energy.c"/&gt;</v>
      </c>
    </row>
    <row r="100" spans="2:8">
      <c r="B100" s="1" t="s">
        <v>330</v>
      </c>
      <c r="C100" t="s">
        <v>331</v>
      </c>
      <c r="D100" t="s">
        <v>323</v>
      </c>
      <c r="E100" s="1" t="s">
        <v>366</v>
      </c>
      <c r="F100" t="str">
        <f t="shared" si="2"/>
        <v>a.n.energy.t</v>
      </c>
      <c r="G100" t="s">
        <v>709</v>
      </c>
      <c r="H100" t="str">
        <f t="shared" si="3"/>
        <v>&lt;register address="84H" name="ANenergyT" type="R/C" description="Total Reverse Active Energy" designator="a.n.energy.t"/&gt;</v>
      </c>
    </row>
    <row r="101" spans="2:8">
      <c r="B101" s="1" t="s">
        <v>332</v>
      </c>
      <c r="C101" t="s">
        <v>333</v>
      </c>
      <c r="D101" t="s">
        <v>323</v>
      </c>
      <c r="E101" s="1" t="s">
        <v>367</v>
      </c>
      <c r="F101" t="str">
        <f t="shared" si="2"/>
        <v>a.n.energy.a</v>
      </c>
      <c r="G101" t="s">
        <v>711</v>
      </c>
      <c r="H101" t="str">
        <f t="shared" si="3"/>
        <v>&lt;register address="85H" name="ANenergyA" type="R/C" description="Phase A Reverse Active Energy" designator="a.n.energy.a"/&gt;</v>
      </c>
    </row>
    <row r="102" spans="2:8">
      <c r="B102" s="1" t="s">
        <v>334</v>
      </c>
      <c r="C102" t="s">
        <v>335</v>
      </c>
      <c r="D102" t="s">
        <v>323</v>
      </c>
      <c r="E102" s="1" t="s">
        <v>368</v>
      </c>
      <c r="F102" t="str">
        <f t="shared" si="2"/>
        <v>a.n.energy.b</v>
      </c>
      <c r="G102" t="s">
        <v>712</v>
      </c>
      <c r="H102" t="str">
        <f t="shared" si="3"/>
        <v>&lt;register address="86H" name="ANenergyB" type="R/C" description="Phase B Reverse Active Energy" designator="a.n.energy.b"/&gt;</v>
      </c>
    </row>
    <row r="103" spans="2:8">
      <c r="B103" s="1" t="s">
        <v>336</v>
      </c>
      <c r="C103" t="s">
        <v>337</v>
      </c>
      <c r="D103" t="s">
        <v>323</v>
      </c>
      <c r="E103" s="1" t="s">
        <v>369</v>
      </c>
      <c r="F103" t="str">
        <f t="shared" si="2"/>
        <v>a.n.energy.c</v>
      </c>
      <c r="G103" t="s">
        <v>713</v>
      </c>
      <c r="H103" t="str">
        <f t="shared" si="3"/>
        <v>&lt;register address="87H" name="ANenergyC" type="R/C" description="Phase C Reverse Active Energy" designator="a.n.energy.c"/&gt;</v>
      </c>
    </row>
    <row r="104" spans="2:8">
      <c r="B104" s="1" t="s">
        <v>338</v>
      </c>
      <c r="C104" t="s">
        <v>339</v>
      </c>
      <c r="D104" t="s">
        <v>323</v>
      </c>
      <c r="E104" s="1" t="s">
        <v>370</v>
      </c>
      <c r="F104" t="str">
        <f t="shared" si="2"/>
        <v>r.p.energy.t</v>
      </c>
      <c r="G104" t="s">
        <v>714</v>
      </c>
      <c r="H104" t="str">
        <f t="shared" si="3"/>
        <v>&lt;register address="88H" name="RPenergyT" type="R/C" description="Total Forward Reactive Energy" designator="r.p.energy.t"/&gt;</v>
      </c>
    </row>
    <row r="105" spans="2:8">
      <c r="B105" s="1" t="s">
        <v>340</v>
      </c>
      <c r="C105" t="s">
        <v>341</v>
      </c>
      <c r="D105" t="s">
        <v>323</v>
      </c>
      <c r="E105" s="1" t="s">
        <v>371</v>
      </c>
      <c r="F105" t="str">
        <f t="shared" si="2"/>
        <v>r.p.energy.a</v>
      </c>
      <c r="G105" t="s">
        <v>715</v>
      </c>
      <c r="H105" t="str">
        <f t="shared" si="3"/>
        <v>&lt;register address="89H" name="RPenergyA" type="R/C" description="Phase A Forward Reactive Energy" designator="r.p.energy.a"/&gt;</v>
      </c>
    </row>
    <row r="106" spans="2:8">
      <c r="B106" s="1" t="s">
        <v>342</v>
      </c>
      <c r="C106" t="s">
        <v>343</v>
      </c>
      <c r="D106" t="s">
        <v>323</v>
      </c>
      <c r="E106" s="1" t="s">
        <v>372</v>
      </c>
      <c r="F106" t="str">
        <f t="shared" si="2"/>
        <v>r.p.energy.b</v>
      </c>
      <c r="G106" t="s">
        <v>716</v>
      </c>
      <c r="H106" t="str">
        <f t="shared" si="3"/>
        <v>&lt;register address="8AH" name="RPenergyB" type="R/C" description="Phase B Forward Reactive Energy" designator="r.p.energy.b"/&gt;</v>
      </c>
    </row>
    <row r="107" spans="2:8">
      <c r="B107" s="1" t="s">
        <v>344</v>
      </c>
      <c r="C107" t="s">
        <v>345</v>
      </c>
      <c r="D107" t="s">
        <v>323</v>
      </c>
      <c r="E107" s="1" t="s">
        <v>373</v>
      </c>
      <c r="F107" t="str">
        <f t="shared" si="2"/>
        <v>r.p.energy.c</v>
      </c>
      <c r="G107" t="s">
        <v>717</v>
      </c>
      <c r="H107" t="str">
        <f t="shared" si="3"/>
        <v>&lt;register address="8BH" name="RPenergyC" type="R/C" description="Phase C Forward Reactive Energy" designator="r.p.energy.c"/&gt;</v>
      </c>
    </row>
    <row r="108" spans="2:8">
      <c r="B108" s="1" t="s">
        <v>346</v>
      </c>
      <c r="C108" t="s">
        <v>347</v>
      </c>
      <c r="D108" t="s">
        <v>323</v>
      </c>
      <c r="E108" s="1" t="s">
        <v>374</v>
      </c>
      <c r="F108" t="str">
        <f t="shared" si="2"/>
        <v>r.n.energy.t</v>
      </c>
      <c r="G108" t="s">
        <v>718</v>
      </c>
      <c r="H108" t="str">
        <f t="shared" si="3"/>
        <v>&lt;register address="8CH" name="RNenergyT" type="R/C" description="Total Reverse Reactive Energy" designator="r.n.energy.t"/&gt;</v>
      </c>
    </row>
    <row r="109" spans="2:8">
      <c r="B109" s="1" t="s">
        <v>348</v>
      </c>
      <c r="C109" t="s">
        <v>349</v>
      </c>
      <c r="D109" t="s">
        <v>323</v>
      </c>
      <c r="E109" s="1" t="s">
        <v>375</v>
      </c>
      <c r="F109" t="str">
        <f t="shared" si="2"/>
        <v>r.n.energy.a</v>
      </c>
      <c r="G109" t="s">
        <v>719</v>
      </c>
      <c r="H109" t="str">
        <f t="shared" si="3"/>
        <v>&lt;register address="8DH" name="RNenergyA" type="R/C" description="Phase A Reverse Reactive Energy" designator="r.n.energy.a"/&gt;</v>
      </c>
    </row>
    <row r="110" spans="2:8">
      <c r="B110" s="1" t="s">
        <v>350</v>
      </c>
      <c r="C110" t="s">
        <v>351</v>
      </c>
      <c r="D110" t="s">
        <v>323</v>
      </c>
      <c r="E110" s="1" t="s">
        <v>376</v>
      </c>
      <c r="F110" t="str">
        <f t="shared" si="2"/>
        <v>r.n.energy.b</v>
      </c>
      <c r="G110" t="s">
        <v>720</v>
      </c>
      <c r="H110" t="str">
        <f t="shared" si="3"/>
        <v>&lt;register address="8EH" name="RNenergyB" type="R/C" description="Phase B Reverse Reactive Energy" designator="r.n.energy.b"/&gt;</v>
      </c>
    </row>
    <row r="111" spans="2:8">
      <c r="B111" s="1" t="s">
        <v>352</v>
      </c>
      <c r="C111" t="s">
        <v>353</v>
      </c>
      <c r="D111" t="s">
        <v>323</v>
      </c>
      <c r="E111" s="1" t="s">
        <v>377</v>
      </c>
      <c r="F111" t="str">
        <f t="shared" si="2"/>
        <v>r.n.energy.c</v>
      </c>
      <c r="G111" t="s">
        <v>721</v>
      </c>
      <c r="H111" t="str">
        <f t="shared" si="3"/>
        <v>&lt;register address="8FH" name="RNenergyC" type="R/C" description="Phase C Reverse Reactive Energy" designator="r.n.energy.c"/&gt;</v>
      </c>
    </row>
    <row r="112" spans="2:8">
      <c r="B112" s="1" t="s">
        <v>354</v>
      </c>
      <c r="C112" t="s">
        <v>355</v>
      </c>
      <c r="D112" t="s">
        <v>323</v>
      </c>
      <c r="E112" s="1" t="s">
        <v>378</v>
      </c>
      <c r="F112" t="str">
        <f t="shared" si="2"/>
        <v>s.a.energy.t</v>
      </c>
      <c r="G112" t="s">
        <v>722</v>
      </c>
      <c r="H112" t="str">
        <f t="shared" si="3"/>
        <v>&lt;register address="90H" name="SAenergyT" type="R/C" description="Total (Arithmetic Sum) Apparent Energy" designator="s.a.energy.t"/&gt;</v>
      </c>
    </row>
    <row r="113" spans="2:8">
      <c r="B113" s="1" t="s">
        <v>356</v>
      </c>
      <c r="C113" t="s">
        <v>357</v>
      </c>
      <c r="D113" t="s">
        <v>323</v>
      </c>
      <c r="E113" s="1" t="s">
        <v>379</v>
      </c>
      <c r="F113" t="str">
        <f t="shared" si="2"/>
        <v>s.energy.a</v>
      </c>
      <c r="G113" t="s">
        <v>723</v>
      </c>
      <c r="H113" t="str">
        <f t="shared" si="3"/>
        <v>&lt;register address="91H" name="SenergyA" type="R/C" description="Phase A Apparent Energy" designator="s.energy.a"/&gt;</v>
      </c>
    </row>
    <row r="114" spans="2:8">
      <c r="B114" s="1" t="s">
        <v>358</v>
      </c>
      <c r="C114" t="s">
        <v>359</v>
      </c>
      <c r="D114" t="s">
        <v>323</v>
      </c>
      <c r="E114" s="1" t="s">
        <v>380</v>
      </c>
      <c r="F114" t="str">
        <f t="shared" si="2"/>
        <v>s.energy.b</v>
      </c>
      <c r="G114" t="s">
        <v>724</v>
      </c>
      <c r="H114" t="str">
        <f t="shared" si="3"/>
        <v>&lt;register address="92H" name="SenergyB" type="R/C" description="Phase B Apparent Energy" designator="s.energy.b"/&gt;</v>
      </c>
    </row>
    <row r="115" spans="2:8">
      <c r="B115" s="1" t="s">
        <v>360</v>
      </c>
      <c r="C115" t="s">
        <v>361</v>
      </c>
      <c r="D115" t="s">
        <v>323</v>
      </c>
      <c r="E115" s="1" t="s">
        <v>381</v>
      </c>
      <c r="F115" t="str">
        <f t="shared" si="2"/>
        <v>s.energy.c</v>
      </c>
      <c r="G115" t="s">
        <v>725</v>
      </c>
      <c r="H115" t="str">
        <f t="shared" si="3"/>
        <v>&lt;register address="93H" name="SenergyC" type="R/C" description="Phase C Apparent Energy" designator="s.energy.c"/&gt;</v>
      </c>
    </row>
    <row r="116" spans="2:8">
      <c r="B116" s="1" t="s">
        <v>382</v>
      </c>
      <c r="C116" t="s">
        <v>383</v>
      </c>
      <c r="D116" t="s">
        <v>323</v>
      </c>
      <c r="E116" s="1" t="s">
        <v>414</v>
      </c>
      <c r="F116" t="str">
        <f t="shared" si="2"/>
        <v>a.p.energy.t.f</v>
      </c>
      <c r="G116" t="s">
        <v>726</v>
      </c>
      <c r="H116" t="str">
        <f t="shared" si="3"/>
        <v>&lt;register address="A0H" name="APenergyTF" type="R/C" description="Total Forward Active Fundamental Energy" designator="a.p.energy.t.f"/&gt;</v>
      </c>
    </row>
    <row r="117" spans="2:8">
      <c r="B117" s="1" t="s">
        <v>384</v>
      </c>
      <c r="C117" t="s">
        <v>385</v>
      </c>
      <c r="D117" t="s">
        <v>323</v>
      </c>
      <c r="E117" s="1" t="s">
        <v>415</v>
      </c>
      <c r="F117" t="str">
        <f t="shared" si="2"/>
        <v>a.p.energy.a.f</v>
      </c>
      <c r="G117" t="s">
        <v>727</v>
      </c>
      <c r="H117" t="str">
        <f t="shared" si="3"/>
        <v>&lt;register address="A1H" name="APenergyAF" type="R/C" description="Phase A Forward Active Fundamental Energy" designator="a.p.energy.a.f"/&gt;</v>
      </c>
    </row>
    <row r="118" spans="2:8">
      <c r="B118" s="1" t="s">
        <v>386</v>
      </c>
      <c r="C118" t="s">
        <v>387</v>
      </c>
      <c r="D118" t="s">
        <v>323</v>
      </c>
      <c r="E118" s="1" t="s">
        <v>416</v>
      </c>
      <c r="F118" t="str">
        <f t="shared" si="2"/>
        <v>a.p.energy.b.f</v>
      </c>
      <c r="G118" t="s">
        <v>728</v>
      </c>
      <c r="H118" t="str">
        <f t="shared" si="3"/>
        <v>&lt;register address="A2H" name="APenergyBF" type="R/C" description="Phase B Forward Active Fundamental Energy" designator="a.p.energy.b.f"/&gt;</v>
      </c>
    </row>
    <row r="119" spans="2:8">
      <c r="B119" s="1" t="s">
        <v>388</v>
      </c>
      <c r="C119" t="s">
        <v>389</v>
      </c>
      <c r="D119" t="s">
        <v>323</v>
      </c>
      <c r="E119" s="1" t="s">
        <v>417</v>
      </c>
      <c r="F119" t="str">
        <f t="shared" si="2"/>
        <v>a.p.energy.c.f</v>
      </c>
      <c r="G119" t="s">
        <v>729</v>
      </c>
      <c r="H119" t="str">
        <f t="shared" si="3"/>
        <v>&lt;register address="A3H" name="APenergyCF" type="R/C" description="Phase C Forward Active Fundamental Energy" designator="a.p.energy.c.f"/&gt;</v>
      </c>
    </row>
    <row r="120" spans="2:8">
      <c r="B120" s="1" t="s">
        <v>390</v>
      </c>
      <c r="C120" t="s">
        <v>391</v>
      </c>
      <c r="D120" t="s">
        <v>323</v>
      </c>
      <c r="E120" s="1" t="s">
        <v>418</v>
      </c>
      <c r="F120" t="str">
        <f t="shared" si="2"/>
        <v>a.n.energy.t.f</v>
      </c>
      <c r="G120" t="s">
        <v>730</v>
      </c>
      <c r="H120" t="str">
        <f t="shared" si="3"/>
        <v>&lt;register address="A4H" name="ANenergyTF" type="R/C" description="Total Reverse Active Fundamental Energy" designator="a.n.energy.t.f"/&gt;</v>
      </c>
    </row>
    <row r="121" spans="2:8">
      <c r="B121" s="1" t="s">
        <v>392</v>
      </c>
      <c r="C121" t="s">
        <v>393</v>
      </c>
      <c r="D121" t="s">
        <v>323</v>
      </c>
      <c r="E121" s="1" t="s">
        <v>419</v>
      </c>
      <c r="F121" t="str">
        <f t="shared" si="2"/>
        <v>a.n.energy.a.f</v>
      </c>
      <c r="G121" t="s">
        <v>731</v>
      </c>
      <c r="H121" t="str">
        <f t="shared" si="3"/>
        <v>&lt;register address="A5H" name="ANenergyAF" type="R/C" description="Phase A Reverse Active Fundamental Energy" designator="a.n.energy.a.f"/&gt;</v>
      </c>
    </row>
    <row r="122" spans="2:8">
      <c r="B122" s="1" t="s">
        <v>394</v>
      </c>
      <c r="C122" t="s">
        <v>395</v>
      </c>
      <c r="D122" t="s">
        <v>323</v>
      </c>
      <c r="E122" s="1" t="s">
        <v>420</v>
      </c>
      <c r="F122" t="str">
        <f t="shared" si="2"/>
        <v>a.n.energy.b.f</v>
      </c>
      <c r="G122" t="s">
        <v>732</v>
      </c>
      <c r="H122" t="str">
        <f t="shared" si="3"/>
        <v>&lt;register address="A6H" name="ANenergyBF" type="R/C" description="Phase B Reverse Active Fundamental Energy" designator="a.n.energy.b.f"/&gt;</v>
      </c>
    </row>
    <row r="123" spans="2:8">
      <c r="B123" s="1" t="s">
        <v>396</v>
      </c>
      <c r="C123" t="s">
        <v>397</v>
      </c>
      <c r="D123" t="s">
        <v>323</v>
      </c>
      <c r="E123" s="1" t="s">
        <v>421</v>
      </c>
      <c r="F123" t="str">
        <f t="shared" si="2"/>
        <v>a.n.energy.c.f</v>
      </c>
      <c r="G123" t="s">
        <v>733</v>
      </c>
      <c r="H123" t="str">
        <f t="shared" si="3"/>
        <v>&lt;register address="A7H" name="ANenergyCF" type="R/C" description="Phase C Reverse Active Fundamental Energy" designator="a.n.energy.c.f"/&gt;</v>
      </c>
    </row>
    <row r="124" spans="2:8">
      <c r="B124" s="1" t="s">
        <v>398</v>
      </c>
      <c r="C124" t="s">
        <v>399</v>
      </c>
      <c r="D124" t="s">
        <v>323</v>
      </c>
      <c r="E124" s="1" t="s">
        <v>422</v>
      </c>
      <c r="F124" t="str">
        <f t="shared" si="2"/>
        <v>a.p.energy.t.h</v>
      </c>
      <c r="G124" t="s">
        <v>734</v>
      </c>
      <c r="H124" t="str">
        <f t="shared" si="3"/>
        <v>&lt;register address="A8H" name="APenergyTH" type="R/C" description="Total Forward Active Harmonic Energy" designator="a.p.energy.t.h"/&gt;</v>
      </c>
    </row>
    <row r="125" spans="2:8">
      <c r="B125" s="1" t="s">
        <v>400</v>
      </c>
      <c r="C125" t="s">
        <v>401</v>
      </c>
      <c r="D125" t="s">
        <v>323</v>
      </c>
      <c r="E125" s="1" t="s">
        <v>423</v>
      </c>
      <c r="F125" t="str">
        <f t="shared" si="2"/>
        <v>a.p.energy.a.h</v>
      </c>
      <c r="G125" t="s">
        <v>735</v>
      </c>
      <c r="H125" t="str">
        <f t="shared" si="3"/>
        <v>&lt;register address="A9H" name="APenergyAH" type="R/C" description="Phase A Forward Active Harmonic Energy" designator="a.p.energy.a.h"/&gt;</v>
      </c>
    </row>
    <row r="126" spans="2:8">
      <c r="B126" s="1" t="s">
        <v>402</v>
      </c>
      <c r="C126" t="s">
        <v>403</v>
      </c>
      <c r="D126" t="s">
        <v>323</v>
      </c>
      <c r="E126" s="1" t="s">
        <v>424</v>
      </c>
      <c r="F126" t="str">
        <f t="shared" si="2"/>
        <v>a.p.energy.b.h</v>
      </c>
      <c r="G126" t="s">
        <v>736</v>
      </c>
      <c r="H126" t="str">
        <f t="shared" si="3"/>
        <v>&lt;register address="AAH" name="APenergyBH" type="R/C" description="Phase B Forward Active Harmonic Energy" designator="a.p.energy.b.h"/&gt;</v>
      </c>
    </row>
    <row r="127" spans="2:8">
      <c r="B127" s="1" t="s">
        <v>404</v>
      </c>
      <c r="C127" t="s">
        <v>405</v>
      </c>
      <c r="D127" t="s">
        <v>323</v>
      </c>
      <c r="E127" s="1" t="s">
        <v>425</v>
      </c>
      <c r="F127" t="str">
        <f t="shared" si="2"/>
        <v>a.p.energy.c.h</v>
      </c>
      <c r="G127" t="s">
        <v>737</v>
      </c>
      <c r="H127" t="str">
        <f t="shared" si="3"/>
        <v>&lt;register address="ABH" name="APenergyCH" type="R/C" description="Phase C Forward Active Harmonic Energy" designator="a.p.energy.c.h"/&gt;</v>
      </c>
    </row>
    <row r="128" spans="2:8">
      <c r="B128" s="1" t="s">
        <v>406</v>
      </c>
      <c r="C128" t="s">
        <v>407</v>
      </c>
      <c r="D128" t="s">
        <v>323</v>
      </c>
      <c r="E128" s="1" t="s">
        <v>426</v>
      </c>
      <c r="F128" t="str">
        <f t="shared" si="2"/>
        <v>a.n.energy.t.h</v>
      </c>
      <c r="G128" t="s">
        <v>738</v>
      </c>
      <c r="H128" t="str">
        <f t="shared" si="3"/>
        <v>&lt;register address="ACH" name="ANenergyTH" type="R/C" description="Total Reverse Active Harmonic Energy" designator="a.n.energy.t.h"/&gt;</v>
      </c>
    </row>
    <row r="129" spans="2:8">
      <c r="B129" s="1" t="s">
        <v>408</v>
      </c>
      <c r="C129" t="s">
        <v>409</v>
      </c>
      <c r="D129" t="s">
        <v>323</v>
      </c>
      <c r="E129" s="1" t="s">
        <v>427</v>
      </c>
      <c r="F129" t="str">
        <f t="shared" si="2"/>
        <v>a.n.energy.a.h</v>
      </c>
      <c r="G129" t="s">
        <v>739</v>
      </c>
      <c r="H129" t="str">
        <f t="shared" si="3"/>
        <v>&lt;register address="ADH" name="ANenergyAH" type="R/C" description="Phase A Reverse Active Harmonic Energy" designator="a.n.energy.a.h"/&gt;</v>
      </c>
    </row>
    <row r="130" spans="2:8">
      <c r="B130" s="1" t="s">
        <v>410</v>
      </c>
      <c r="C130" t="s">
        <v>411</v>
      </c>
      <c r="D130" t="s">
        <v>323</v>
      </c>
      <c r="E130" s="1" t="s">
        <v>428</v>
      </c>
      <c r="F130" t="str">
        <f t="shared" ref="F130:F193" si="4">LOWER(G130)</f>
        <v>a.n.energy.b.h</v>
      </c>
      <c r="G130" t="s">
        <v>740</v>
      </c>
      <c r="H130" t="str">
        <f t="shared" ref="H130:H193" si="5">CONCATENATE("&lt;register address=""",B130,""" name=""",C130,""" type=""",D130,""" description=""",E130,""" designator=""",F130,"""/&gt;")</f>
        <v>&lt;register address="AEH" name="ANenergyBH" type="R/C" description="Phase B Reverse Active Harmonic Energy" designator="a.n.energy.b.h"/&gt;</v>
      </c>
    </row>
    <row r="131" spans="2:8">
      <c r="B131" s="1" t="s">
        <v>412</v>
      </c>
      <c r="C131" t="s">
        <v>413</v>
      </c>
      <c r="D131" t="s">
        <v>323</v>
      </c>
      <c r="E131" s="1" t="s">
        <v>429</v>
      </c>
      <c r="F131" t="str">
        <f t="shared" si="4"/>
        <v>a.n.energy.c.h</v>
      </c>
      <c r="G131" t="s">
        <v>741</v>
      </c>
      <c r="H131" t="str">
        <f t="shared" si="5"/>
        <v>&lt;register address="AFH" name="ANenergyCH" type="R/C" description="Phase C Reverse Active Harmonic Energy" designator="a.n.energy.c.h"/&gt;</v>
      </c>
    </row>
    <row r="132" spans="2:8">
      <c r="B132" s="1" t="s">
        <v>430</v>
      </c>
      <c r="C132" t="s">
        <v>469</v>
      </c>
      <c r="D132" t="s">
        <v>290</v>
      </c>
      <c r="E132" t="s">
        <v>486</v>
      </c>
      <c r="F132" t="str">
        <f t="shared" si="4"/>
        <v>p.mean.t</v>
      </c>
      <c r="G132" t="s">
        <v>742</v>
      </c>
      <c r="H132" t="str">
        <f t="shared" si="5"/>
        <v>&lt;register address="B0H" name="PmeanT" type="R" description="Total (all-phase-sum) Active Power" designator="p.mean.t"/&gt;</v>
      </c>
    </row>
    <row r="133" spans="2:8">
      <c r="B133" s="1" t="s">
        <v>431</v>
      </c>
      <c r="C133" t="s">
        <v>470</v>
      </c>
      <c r="D133" t="s">
        <v>290</v>
      </c>
      <c r="E133" t="s">
        <v>487</v>
      </c>
      <c r="F133" t="str">
        <f t="shared" si="4"/>
        <v>p.mean.a</v>
      </c>
      <c r="G133" t="s">
        <v>743</v>
      </c>
      <c r="H133" t="str">
        <f t="shared" si="5"/>
        <v>&lt;register address="B1H" name="PmeanA" type="R" description="Phase A Active Power" designator="p.mean.a"/&gt;</v>
      </c>
    </row>
    <row r="134" spans="2:8">
      <c r="B134" s="1" t="s">
        <v>432</v>
      </c>
      <c r="C134" t="s">
        <v>471</v>
      </c>
      <c r="D134" t="s">
        <v>290</v>
      </c>
      <c r="E134" t="s">
        <v>488</v>
      </c>
      <c r="F134" t="str">
        <f t="shared" si="4"/>
        <v>p.mean.b</v>
      </c>
      <c r="G134" t="s">
        <v>744</v>
      </c>
      <c r="H134" t="str">
        <f t="shared" si="5"/>
        <v>&lt;register address="B2H" name="PmeanB" type="R" description="Phase B Active Power" designator="p.mean.b"/&gt;</v>
      </c>
    </row>
    <row r="135" spans="2:8">
      <c r="B135" s="1" t="s">
        <v>433</v>
      </c>
      <c r="C135" t="s">
        <v>472</v>
      </c>
      <c r="D135" t="s">
        <v>290</v>
      </c>
      <c r="E135" t="s">
        <v>489</v>
      </c>
      <c r="F135" t="str">
        <f t="shared" si="4"/>
        <v>p.mean.c</v>
      </c>
      <c r="G135" t="s">
        <v>745</v>
      </c>
      <c r="H135" t="str">
        <f t="shared" si="5"/>
        <v>&lt;register address="B3H" name="PmeanC" type="R" description="Phase C Active Power" designator="p.mean.c"/&gt;</v>
      </c>
    </row>
    <row r="136" spans="2:8">
      <c r="B136" s="1" t="s">
        <v>434</v>
      </c>
      <c r="C136" t="s">
        <v>473</v>
      </c>
      <c r="D136" t="s">
        <v>290</v>
      </c>
      <c r="E136" t="s">
        <v>490</v>
      </c>
      <c r="F136" t="str">
        <f t="shared" si="4"/>
        <v>q.mean.t</v>
      </c>
      <c r="G136" t="s">
        <v>746</v>
      </c>
      <c r="H136" t="str">
        <f t="shared" si="5"/>
        <v>&lt;register address="B4H" name="QmeanT" type="R" description="Total (all-phase-sum) Reactive Power" designator="q.mean.t"/&gt;</v>
      </c>
    </row>
    <row r="137" spans="2:8">
      <c r="B137" s="1" t="s">
        <v>435</v>
      </c>
      <c r="C137" t="s">
        <v>474</v>
      </c>
      <c r="D137" t="s">
        <v>290</v>
      </c>
      <c r="E137" t="s">
        <v>491</v>
      </c>
      <c r="F137" t="str">
        <f t="shared" si="4"/>
        <v>q.mean.a</v>
      </c>
      <c r="G137" t="s">
        <v>747</v>
      </c>
      <c r="H137" t="str">
        <f t="shared" si="5"/>
        <v>&lt;register address="B5H" name="QmeanA" type="R" description="Phase A Reactive Power" designator="q.mean.a"/&gt;</v>
      </c>
    </row>
    <row r="138" spans="2:8">
      <c r="B138" s="1" t="s">
        <v>436</v>
      </c>
      <c r="C138" t="s">
        <v>475</v>
      </c>
      <c r="D138" t="s">
        <v>290</v>
      </c>
      <c r="E138" t="s">
        <v>492</v>
      </c>
      <c r="F138" t="str">
        <f t="shared" si="4"/>
        <v>q.mean.b</v>
      </c>
      <c r="G138" t="s">
        <v>748</v>
      </c>
      <c r="H138" t="str">
        <f t="shared" si="5"/>
        <v>&lt;register address="B6H" name="QmeanB" type="R" description="Phase B Reactive Power" designator="q.mean.b"/&gt;</v>
      </c>
    </row>
    <row r="139" spans="2:8">
      <c r="B139" s="1" t="s">
        <v>437</v>
      </c>
      <c r="C139" t="s">
        <v>476</v>
      </c>
      <c r="D139" t="s">
        <v>290</v>
      </c>
      <c r="E139" t="s">
        <v>493</v>
      </c>
      <c r="F139" t="str">
        <f t="shared" si="4"/>
        <v>q.mean.c</v>
      </c>
      <c r="G139" t="s">
        <v>749</v>
      </c>
      <c r="H139" t="str">
        <f t="shared" si="5"/>
        <v>&lt;register address="B7H" name="QmeanC" type="R" description="Phase C Reactive Power" designator="q.mean.c"/&gt;</v>
      </c>
    </row>
    <row r="140" spans="2:8">
      <c r="B140" s="1" t="s">
        <v>438</v>
      </c>
      <c r="C140" t="s">
        <v>477</v>
      </c>
      <c r="D140" t="s">
        <v>290</v>
      </c>
      <c r="E140" t="s">
        <v>494</v>
      </c>
      <c r="F140" t="str">
        <f t="shared" si="4"/>
        <v>s.mean.t</v>
      </c>
      <c r="G140" t="s">
        <v>750</v>
      </c>
      <c r="H140" t="str">
        <f t="shared" si="5"/>
        <v>&lt;register address="B8H" name="SmeanT" type="R" description="Total (Arithmetic Sum) Apparent Power" designator="s.mean.t"/&gt;</v>
      </c>
    </row>
    <row r="141" spans="2:8">
      <c r="B141" s="1" t="s">
        <v>439</v>
      </c>
      <c r="C141" t="s">
        <v>478</v>
      </c>
      <c r="D141" t="s">
        <v>290</v>
      </c>
      <c r="E141" t="s">
        <v>495</v>
      </c>
      <c r="F141" t="str">
        <f t="shared" si="4"/>
        <v>s.mean.a</v>
      </c>
      <c r="G141" t="s">
        <v>751</v>
      </c>
      <c r="H141" t="str">
        <f t="shared" si="5"/>
        <v>&lt;register address="B9H" name="SmeanA" type="R" description="Phase A Apparent Power" designator="s.mean.a"/&gt;</v>
      </c>
    </row>
    <row r="142" spans="2:8">
      <c r="B142" s="1" t="s">
        <v>440</v>
      </c>
      <c r="C142" t="s">
        <v>479</v>
      </c>
      <c r="D142" t="s">
        <v>290</v>
      </c>
      <c r="E142" t="s">
        <v>496</v>
      </c>
      <c r="F142" t="str">
        <f t="shared" si="4"/>
        <v>s.mean.b</v>
      </c>
      <c r="G142" t="s">
        <v>752</v>
      </c>
      <c r="H142" t="str">
        <f t="shared" si="5"/>
        <v>&lt;register address="BAH" name="SmeanB" type="R" description="Phase B Apparent Power" designator="s.mean.b"/&gt;</v>
      </c>
    </row>
    <row r="143" spans="2:8">
      <c r="B143" s="1" t="s">
        <v>441</v>
      </c>
      <c r="C143" t="s">
        <v>480</v>
      </c>
      <c r="D143" t="s">
        <v>290</v>
      </c>
      <c r="E143" t="s">
        <v>497</v>
      </c>
      <c r="F143" t="str">
        <f t="shared" si="4"/>
        <v>s.mean.c</v>
      </c>
      <c r="G143" t="s">
        <v>753</v>
      </c>
      <c r="H143" t="str">
        <f t="shared" si="5"/>
        <v>&lt;register address="BBH" name="SmeanC" type="R" description="Phase C Apparent Power" designator="s.mean.c"/&gt;</v>
      </c>
    </row>
    <row r="144" spans="2:8">
      <c r="B144" s="1" t="s">
        <v>442</v>
      </c>
      <c r="C144" t="s">
        <v>481</v>
      </c>
      <c r="D144" t="s">
        <v>290</v>
      </c>
      <c r="E144" t="s">
        <v>498</v>
      </c>
      <c r="F144" t="str">
        <f t="shared" si="4"/>
        <v>p.f.mean.t</v>
      </c>
      <c r="G144" t="s">
        <v>754</v>
      </c>
      <c r="H144" t="str">
        <f t="shared" si="5"/>
        <v>&lt;register address="BCH" name="PFmeanT" type="R" description="Total Power Factor" designator="p.f.mean.t"/&gt;</v>
      </c>
    </row>
    <row r="145" spans="2:8">
      <c r="B145" s="1" t="s">
        <v>443</v>
      </c>
      <c r="C145" t="s">
        <v>482</v>
      </c>
      <c r="D145" t="s">
        <v>290</v>
      </c>
      <c r="E145" t="s">
        <v>499</v>
      </c>
      <c r="F145" t="str">
        <f t="shared" si="4"/>
        <v>p.f.mean.a</v>
      </c>
      <c r="G145" t="s">
        <v>755</v>
      </c>
      <c r="H145" t="str">
        <f t="shared" si="5"/>
        <v>&lt;register address="BDH" name="PFmeanA" type="R" description="Phase A Power Factor" designator="p.f.mean.a"/&gt;</v>
      </c>
    </row>
    <row r="146" spans="2:8">
      <c r="B146" s="1" t="s">
        <v>444</v>
      </c>
      <c r="C146" t="s">
        <v>483</v>
      </c>
      <c r="D146" t="s">
        <v>290</v>
      </c>
      <c r="E146" t="s">
        <v>500</v>
      </c>
      <c r="F146" t="str">
        <f t="shared" si="4"/>
        <v>p.f.mean.b</v>
      </c>
      <c r="G146" t="s">
        <v>756</v>
      </c>
      <c r="H146" t="str">
        <f t="shared" si="5"/>
        <v>&lt;register address="BEH" name="PFmeanB" type="R" description="Phase B Power Factor" designator="p.f.mean.b"/&gt;</v>
      </c>
    </row>
    <row r="147" spans="2:8">
      <c r="B147" s="1" t="s">
        <v>445</v>
      </c>
      <c r="C147" t="s">
        <v>484</v>
      </c>
      <c r="D147" t="s">
        <v>290</v>
      </c>
      <c r="E147" t="s">
        <v>501</v>
      </c>
      <c r="F147" t="str">
        <f t="shared" si="4"/>
        <v>p.f.mean.c</v>
      </c>
      <c r="G147" t="s">
        <v>757</v>
      </c>
      <c r="H147" t="str">
        <f t="shared" si="5"/>
        <v>&lt;register address="BFH" name="PFmeanC" type="R" description="Phase C Power Factor" designator="p.f.mean.c"/&gt;</v>
      </c>
    </row>
    <row r="148" spans="2:8">
      <c r="B148" s="1" t="s">
        <v>446</v>
      </c>
      <c r="C148" t="s">
        <v>447</v>
      </c>
      <c r="D148" t="s">
        <v>290</v>
      </c>
      <c r="E148" t="s">
        <v>502</v>
      </c>
      <c r="F148" t="str">
        <f t="shared" si="4"/>
        <v>p.mean.t.l.s.b</v>
      </c>
      <c r="G148" t="s">
        <v>758</v>
      </c>
      <c r="H148" t="str">
        <f t="shared" si="5"/>
        <v>&lt;register address="C0H" name="PmeanTLSB" type="R" description="Lower Word of Total (all-phase-sum) ActivePower" designator="p.mean.t.l.s.b"/&gt;</v>
      </c>
    </row>
    <row r="149" spans="2:8">
      <c r="B149" s="1" t="s">
        <v>448</v>
      </c>
      <c r="C149" t="s">
        <v>449</v>
      </c>
      <c r="D149" t="s">
        <v>290</v>
      </c>
      <c r="E149" t="s">
        <v>503</v>
      </c>
      <c r="F149" t="str">
        <f t="shared" si="4"/>
        <v>p.mean.a.l.s.b</v>
      </c>
      <c r="G149" t="s">
        <v>759</v>
      </c>
      <c r="H149" t="str">
        <f t="shared" si="5"/>
        <v>&lt;register address="C1H" name="PmeanALSB" type="R" description="Lower Word of Phase A Active Power" designator="p.mean.a.l.s.b"/&gt;</v>
      </c>
    </row>
    <row r="150" spans="2:8">
      <c r="B150" s="1" t="s">
        <v>450</v>
      </c>
      <c r="C150" t="s">
        <v>451</v>
      </c>
      <c r="D150" t="s">
        <v>290</v>
      </c>
      <c r="E150" t="s">
        <v>504</v>
      </c>
      <c r="F150" t="str">
        <f t="shared" si="4"/>
        <v>p.mean.b.l.s.b</v>
      </c>
      <c r="G150" t="s">
        <v>760</v>
      </c>
      <c r="H150" t="str">
        <f t="shared" si="5"/>
        <v>&lt;register address="C2H" name="PmeanBLSB" type="R" description="Lower Word of Phase B Active Power" designator="p.mean.b.l.s.b"/&gt;</v>
      </c>
    </row>
    <row r="151" spans="2:8">
      <c r="B151" s="1" t="s">
        <v>452</v>
      </c>
      <c r="C151" t="s">
        <v>453</v>
      </c>
      <c r="D151" t="s">
        <v>290</v>
      </c>
      <c r="E151" t="s">
        <v>505</v>
      </c>
      <c r="F151" t="str">
        <f t="shared" si="4"/>
        <v>p.mean.c.l.s.b</v>
      </c>
      <c r="G151" t="s">
        <v>761</v>
      </c>
      <c r="H151" t="str">
        <f t="shared" si="5"/>
        <v>&lt;register address="C3H" name="PmeanCLSB" type="R" description="Lower Word of Phase C Active Power" designator="p.mean.c.l.s.b"/&gt;</v>
      </c>
    </row>
    <row r="152" spans="2:8">
      <c r="B152" s="1" t="s">
        <v>454</v>
      </c>
      <c r="C152" t="s">
        <v>455</v>
      </c>
      <c r="D152" t="s">
        <v>290</v>
      </c>
      <c r="E152" t="s">
        <v>506</v>
      </c>
      <c r="F152" t="str">
        <f t="shared" si="4"/>
        <v>q.mean.t.l.s.b</v>
      </c>
      <c r="G152" t="s">
        <v>762</v>
      </c>
      <c r="H152" t="str">
        <f t="shared" si="5"/>
        <v>&lt;register address="C4H" name="QmeanTLSB" type="R" description="Lower Word of Total (all-phase-sum) ReactivePower" designator="q.mean.t.l.s.b"/&gt;</v>
      </c>
    </row>
    <row r="153" spans="2:8">
      <c r="B153" s="1" t="s">
        <v>456</v>
      </c>
      <c r="C153" t="s">
        <v>457</v>
      </c>
      <c r="D153" t="s">
        <v>290</v>
      </c>
      <c r="E153" t="s">
        <v>507</v>
      </c>
      <c r="F153" t="str">
        <f t="shared" si="4"/>
        <v>q.mean.a.l.s.b</v>
      </c>
      <c r="G153" t="s">
        <v>763</v>
      </c>
      <c r="H153" t="str">
        <f t="shared" si="5"/>
        <v>&lt;register address="C5H" name="QmeanALSB" type="R" description="Lower Word of Phase A Reactive Power" designator="q.mean.a.l.s.b"/&gt;</v>
      </c>
    </row>
    <row r="154" spans="2:8">
      <c r="B154" s="1" t="s">
        <v>458</v>
      </c>
      <c r="C154" t="s">
        <v>459</v>
      </c>
      <c r="D154" t="s">
        <v>290</v>
      </c>
      <c r="E154" t="s">
        <v>508</v>
      </c>
      <c r="F154" t="str">
        <f t="shared" si="4"/>
        <v>q.mean.b.l.s.b</v>
      </c>
      <c r="G154" t="s">
        <v>764</v>
      </c>
      <c r="H154" t="str">
        <f t="shared" si="5"/>
        <v>&lt;register address="C6H" name="QmeanBLSB" type="R" description="Lower Word of Phase B Reactive Power" designator="q.mean.b.l.s.b"/&gt;</v>
      </c>
    </row>
    <row r="155" spans="2:8">
      <c r="B155" s="1" t="s">
        <v>460</v>
      </c>
      <c r="C155" t="s">
        <v>461</v>
      </c>
      <c r="D155" t="s">
        <v>290</v>
      </c>
      <c r="E155" t="s">
        <v>509</v>
      </c>
      <c r="F155" t="str">
        <f t="shared" si="4"/>
        <v>q.mean.c.l.s.b</v>
      </c>
      <c r="G155" t="s">
        <v>765</v>
      </c>
      <c r="H155" t="str">
        <f t="shared" si="5"/>
        <v>&lt;register address="C7H" name="QmeanCLSB" type="R" description="Lower Word of Phase C Reactive Power" designator="q.mean.c.l.s.b"/&gt;</v>
      </c>
    </row>
    <row r="156" spans="2:8">
      <c r="B156" s="1" t="s">
        <v>462</v>
      </c>
      <c r="C156" t="s">
        <v>485</v>
      </c>
      <c r="D156" t="s">
        <v>290</v>
      </c>
      <c r="E156" t="s">
        <v>510</v>
      </c>
      <c r="F156" t="str">
        <f t="shared" si="4"/>
        <v>s.a.mean.t.l.s.b</v>
      </c>
      <c r="G156" t="s">
        <v>766</v>
      </c>
      <c r="H156" t="str">
        <f t="shared" si="5"/>
        <v>&lt;register address="C8H" name="SAmeanTLSB" type="R" description="Lower Word of Total (Arithmetic Sum) Apparent Power" designator="s.a.mean.t.l.s.b"/&gt;</v>
      </c>
    </row>
    <row r="157" spans="2:8">
      <c r="B157" s="1" t="s">
        <v>463</v>
      </c>
      <c r="C157" t="s">
        <v>464</v>
      </c>
      <c r="D157" t="s">
        <v>290</v>
      </c>
      <c r="E157" t="s">
        <v>511</v>
      </c>
      <c r="F157" t="str">
        <f t="shared" si="4"/>
        <v>s.mean.a.l.s.b</v>
      </c>
      <c r="G157" t="s">
        <v>767</v>
      </c>
      <c r="H157" t="str">
        <f t="shared" si="5"/>
        <v>&lt;register address="C9H" name="SmeanALSB" type="R" description="Lower Word of Phase A Apparent Power" designator="s.mean.a.l.s.b"/&gt;</v>
      </c>
    </row>
    <row r="158" spans="2:8">
      <c r="B158" s="1" t="s">
        <v>465</v>
      </c>
      <c r="C158" t="s">
        <v>466</v>
      </c>
      <c r="D158" t="s">
        <v>290</v>
      </c>
      <c r="E158" t="s">
        <v>512</v>
      </c>
      <c r="F158" t="str">
        <f t="shared" si="4"/>
        <v>s.mean.b.l.s.b</v>
      </c>
      <c r="G158" t="s">
        <v>768</v>
      </c>
      <c r="H158" t="str">
        <f t="shared" si="5"/>
        <v>&lt;register address="CAH" name="SmeanBLSB" type="R" description="Lower Word of Phase B Apparent Power" designator="s.mean.b.l.s.b"/&gt;</v>
      </c>
    </row>
    <row r="159" spans="2:8">
      <c r="B159" s="1" t="s">
        <v>467</v>
      </c>
      <c r="C159" t="s">
        <v>468</v>
      </c>
      <c r="D159" t="s">
        <v>290</v>
      </c>
      <c r="E159" t="s">
        <v>513</v>
      </c>
      <c r="F159" t="str">
        <f t="shared" si="4"/>
        <v>s.mean.c.l.s.b</v>
      </c>
      <c r="G159" t="s">
        <v>769</v>
      </c>
      <c r="H159" t="str">
        <f t="shared" si="5"/>
        <v>&lt;register address="CBH" name="SmeanCLSB" type="R" description="Lower Word of Phase C Apparent Power" designator="s.mean.c.l.s.b"/&gt;</v>
      </c>
    </row>
    <row r="160" spans="2:8">
      <c r="B160" s="1" t="s">
        <v>514</v>
      </c>
      <c r="C160" t="s">
        <v>515</v>
      </c>
      <c r="D160" t="s">
        <v>290</v>
      </c>
      <c r="E160" s="1" t="s">
        <v>536</v>
      </c>
      <c r="F160" t="str">
        <f t="shared" si="4"/>
        <v>p.mean.t.f</v>
      </c>
      <c r="G160" t="s">
        <v>770</v>
      </c>
      <c r="H160" t="str">
        <f t="shared" si="5"/>
        <v>&lt;register address="D0H" name="PmeanTF" type="R" description="Total Active Fundamental Power" designator="p.mean.t.f"/&gt;</v>
      </c>
    </row>
    <row r="161" spans="2:8">
      <c r="B161" s="1" t="s">
        <v>516</v>
      </c>
      <c r="C161" t="s">
        <v>517</v>
      </c>
      <c r="D161" t="s">
        <v>290</v>
      </c>
      <c r="E161" s="1" t="s">
        <v>537</v>
      </c>
      <c r="F161" t="str">
        <f t="shared" si="4"/>
        <v>p.mean.a.f</v>
      </c>
      <c r="G161" t="s">
        <v>771</v>
      </c>
      <c r="H161" t="str">
        <f t="shared" si="5"/>
        <v>&lt;register address="D1H" name="PmeanAF" type="R" description="Phase A Active Fundamental Power" designator="p.mean.a.f"/&gt;</v>
      </c>
    </row>
    <row r="162" spans="2:8">
      <c r="B162" s="1" t="s">
        <v>518</v>
      </c>
      <c r="C162" t="s">
        <v>519</v>
      </c>
      <c r="D162" t="s">
        <v>290</v>
      </c>
      <c r="E162" s="1" t="s">
        <v>538</v>
      </c>
      <c r="F162" t="str">
        <f t="shared" si="4"/>
        <v>p.mean.b.f</v>
      </c>
      <c r="G162" t="s">
        <v>772</v>
      </c>
      <c r="H162" t="str">
        <f t="shared" si="5"/>
        <v>&lt;register address="D2H" name="PmeanBF" type="R" description="Phase B Active Fundamental Power" designator="p.mean.b.f"/&gt;</v>
      </c>
    </row>
    <row r="163" spans="2:8">
      <c r="B163" s="1" t="s">
        <v>520</v>
      </c>
      <c r="C163" t="s">
        <v>521</v>
      </c>
      <c r="D163" t="s">
        <v>290</v>
      </c>
      <c r="E163" s="1" t="s">
        <v>539</v>
      </c>
      <c r="F163" t="str">
        <f t="shared" si="4"/>
        <v>p.mean.c.f</v>
      </c>
      <c r="G163" t="s">
        <v>773</v>
      </c>
      <c r="H163" t="str">
        <f t="shared" si="5"/>
        <v>&lt;register address="D3H" name="PmeanCF" type="R" description="Phase C Active Fundamental Power" designator="p.mean.c.f"/&gt;</v>
      </c>
    </row>
    <row r="164" spans="2:8">
      <c r="B164" s="1" t="s">
        <v>522</v>
      </c>
      <c r="C164" t="s">
        <v>523</v>
      </c>
      <c r="D164" t="s">
        <v>290</v>
      </c>
      <c r="E164" s="1" t="s">
        <v>540</v>
      </c>
      <c r="F164" t="str">
        <f t="shared" si="4"/>
        <v>p.mean.t.h</v>
      </c>
      <c r="G164" t="s">
        <v>774</v>
      </c>
      <c r="H164" t="str">
        <f t="shared" si="5"/>
        <v>&lt;register address="D4H" name="PmeanTH" type="R" description="Total Active Harmonic Power" designator="p.mean.t.h"/&gt;</v>
      </c>
    </row>
    <row r="165" spans="2:8">
      <c r="B165" s="1" t="s">
        <v>524</v>
      </c>
      <c r="C165" t="s">
        <v>525</v>
      </c>
      <c r="D165" t="s">
        <v>290</v>
      </c>
      <c r="E165" s="1" t="s">
        <v>541</v>
      </c>
      <c r="F165" t="str">
        <f t="shared" si="4"/>
        <v>p.mean.a.h</v>
      </c>
      <c r="G165" t="s">
        <v>775</v>
      </c>
      <c r="H165" t="str">
        <f t="shared" si="5"/>
        <v>&lt;register address="D5H" name="PmeanAH" type="R" description="Phase A Active Harmonic Power" designator="p.mean.a.h"/&gt;</v>
      </c>
    </row>
    <row r="166" spans="2:8">
      <c r="B166" s="1" t="s">
        <v>526</v>
      </c>
      <c r="C166" t="s">
        <v>527</v>
      </c>
      <c r="D166" t="s">
        <v>290</v>
      </c>
      <c r="E166" s="1" t="s">
        <v>542</v>
      </c>
      <c r="F166" t="str">
        <f t="shared" si="4"/>
        <v>p.mean.b.h</v>
      </c>
      <c r="G166" t="s">
        <v>776</v>
      </c>
      <c r="H166" t="str">
        <f t="shared" si="5"/>
        <v>&lt;register address="D6H" name="PmeanBH" type="R" description="Phase B Active Harmonic Power" designator="p.mean.b.h"/&gt;</v>
      </c>
    </row>
    <row r="167" spans="2:8">
      <c r="B167" s="1" t="s">
        <v>528</v>
      </c>
      <c r="C167" t="s">
        <v>529</v>
      </c>
      <c r="D167" t="s">
        <v>290</v>
      </c>
      <c r="E167" s="1" t="s">
        <v>543</v>
      </c>
      <c r="F167" t="str">
        <f t="shared" si="4"/>
        <v>p.mean.c.h</v>
      </c>
      <c r="G167" t="s">
        <v>777</v>
      </c>
      <c r="H167" t="str">
        <f t="shared" si="5"/>
        <v>&lt;register address="D7H" name="PmeanCH" type="R" description="Phase C Active Harmonic Power" designator="p.mean.c.h"/&gt;</v>
      </c>
    </row>
    <row r="168" spans="2:8">
      <c r="B168" s="1" t="s">
        <v>530</v>
      </c>
      <c r="C168" t="s">
        <v>531</v>
      </c>
      <c r="D168" t="s">
        <v>290</v>
      </c>
      <c r="E168" s="1" t="s">
        <v>544</v>
      </c>
      <c r="F168" t="str">
        <f t="shared" si="4"/>
        <v>u.rms.a</v>
      </c>
      <c r="G168" t="s">
        <v>778</v>
      </c>
      <c r="H168" t="str">
        <f t="shared" si="5"/>
        <v>&lt;register address="D9H" name="UrmsA" type="R" description="Phase A Voltage RMS" designator="u.rms.a"/&gt;</v>
      </c>
    </row>
    <row r="169" spans="2:8">
      <c r="B169" s="1" t="s">
        <v>532</v>
      </c>
      <c r="C169" t="s">
        <v>533</v>
      </c>
      <c r="D169" t="s">
        <v>290</v>
      </c>
      <c r="E169" s="1" t="s">
        <v>545</v>
      </c>
      <c r="F169" t="str">
        <f t="shared" si="4"/>
        <v>u.rms.b</v>
      </c>
      <c r="G169" t="s">
        <v>779</v>
      </c>
      <c r="H169" t="str">
        <f t="shared" si="5"/>
        <v>&lt;register address="DAH" name="UrmsB" type="R" description="Phase B Voltage RMS" designator="u.rms.b"/&gt;</v>
      </c>
    </row>
    <row r="170" spans="2:8">
      <c r="B170" s="1" t="s">
        <v>534</v>
      </c>
      <c r="C170" t="s">
        <v>535</v>
      </c>
      <c r="D170" t="s">
        <v>290</v>
      </c>
      <c r="E170" s="1" t="s">
        <v>546</v>
      </c>
      <c r="F170" t="str">
        <f t="shared" si="4"/>
        <v>u.rms.c</v>
      </c>
      <c r="G170" t="s">
        <v>780</v>
      </c>
      <c r="H170" t="str">
        <f t="shared" si="5"/>
        <v>&lt;register address="DBH" name="UrmsC" type="R" description="Phase C Voltage RMS" designator="u.rms.c"/&gt;</v>
      </c>
    </row>
    <row r="171" spans="2:8">
      <c r="B171" s="1" t="s">
        <v>547</v>
      </c>
      <c r="C171" t="s">
        <v>548</v>
      </c>
      <c r="D171" t="s">
        <v>290</v>
      </c>
      <c r="E171" t="s">
        <v>583</v>
      </c>
      <c r="F171" t="str">
        <f t="shared" si="4"/>
        <v>i.rms.n</v>
      </c>
      <c r="G171" t="s">
        <v>781</v>
      </c>
      <c r="H171" t="str">
        <f t="shared" si="5"/>
        <v>&lt;register address="DCH" name="IrmsN" type="R" description="N Line Calculated Current RMS" designator="i.rms.n"/&gt;</v>
      </c>
    </row>
    <row r="172" spans="2:8">
      <c r="B172" s="1" t="s">
        <v>549</v>
      </c>
      <c r="C172" t="s">
        <v>550</v>
      </c>
      <c r="D172" t="s">
        <v>290</v>
      </c>
      <c r="E172" t="s">
        <v>584</v>
      </c>
      <c r="F172" t="str">
        <f t="shared" si="4"/>
        <v>i.rms.a</v>
      </c>
      <c r="G172" t="s">
        <v>782</v>
      </c>
      <c r="H172" t="str">
        <f t="shared" si="5"/>
        <v>&lt;register address="DDH" name="IrmsA" type="R" description="Phase A Current RMS" designator="i.rms.a"/&gt;</v>
      </c>
    </row>
    <row r="173" spans="2:8">
      <c r="B173" s="1" t="s">
        <v>551</v>
      </c>
      <c r="C173" t="s">
        <v>552</v>
      </c>
      <c r="D173" t="s">
        <v>290</v>
      </c>
      <c r="E173" t="s">
        <v>585</v>
      </c>
      <c r="F173" t="str">
        <f t="shared" si="4"/>
        <v>i.rms.b</v>
      </c>
      <c r="G173" t="s">
        <v>783</v>
      </c>
      <c r="H173" t="str">
        <f t="shared" si="5"/>
        <v>&lt;register address="DEH" name="IrmsB" type="R" description="Phase B Current RMS" designator="i.rms.b"/&gt;</v>
      </c>
    </row>
    <row r="174" spans="2:8">
      <c r="B174" s="1" t="s">
        <v>553</v>
      </c>
      <c r="C174" t="s">
        <v>554</v>
      </c>
      <c r="D174" t="s">
        <v>290</v>
      </c>
      <c r="E174" t="s">
        <v>586</v>
      </c>
      <c r="F174" t="str">
        <f t="shared" si="4"/>
        <v>i.rms.c</v>
      </c>
      <c r="G174" t="s">
        <v>784</v>
      </c>
      <c r="H174" t="str">
        <f t="shared" si="5"/>
        <v>&lt;register address="DFH" name="IrmsC" type="R" description="Phase C Current RMS" designator="i.rms.c"/&gt;</v>
      </c>
    </row>
    <row r="175" spans="2:8">
      <c r="B175" s="1" t="s">
        <v>555</v>
      </c>
      <c r="C175" t="s">
        <v>556</v>
      </c>
      <c r="D175" t="s">
        <v>290</v>
      </c>
      <c r="E175" t="s">
        <v>587</v>
      </c>
      <c r="F175" t="str">
        <f t="shared" si="4"/>
        <v>p.mean.t.f.l.s.b</v>
      </c>
      <c r="G175" t="s">
        <v>785</v>
      </c>
      <c r="H175" t="str">
        <f t="shared" si="5"/>
        <v>&lt;register address="E0H" name="PmeanTFLSB" type="R" description="Lower Word of Total Active Fundamental Power" designator="p.mean.t.f.l.s.b"/&gt;</v>
      </c>
    </row>
    <row r="176" spans="2:8">
      <c r="B176" s="1" t="s">
        <v>557</v>
      </c>
      <c r="C176" t="s">
        <v>558</v>
      </c>
      <c r="D176" t="s">
        <v>290</v>
      </c>
      <c r="E176" t="s">
        <v>588</v>
      </c>
      <c r="F176" t="str">
        <f t="shared" si="4"/>
        <v>p.mean.a.f.l.s.b</v>
      </c>
      <c r="G176" t="s">
        <v>786</v>
      </c>
      <c r="H176" t="str">
        <f t="shared" si="5"/>
        <v>&lt;register address="E1H" name="PmeanAFLSB" type="R" description="Lower Word of Phase A Active Fundamental Power" designator="p.mean.a.f.l.s.b"/&gt;</v>
      </c>
    </row>
    <row r="177" spans="2:8">
      <c r="B177" s="1" t="s">
        <v>559</v>
      </c>
      <c r="C177" t="s">
        <v>560</v>
      </c>
      <c r="D177" t="s">
        <v>290</v>
      </c>
      <c r="E177" t="s">
        <v>589</v>
      </c>
      <c r="F177" t="str">
        <f t="shared" si="4"/>
        <v>p.mean.b.f.l.s.b</v>
      </c>
      <c r="G177" t="s">
        <v>787</v>
      </c>
      <c r="H177" t="str">
        <f t="shared" si="5"/>
        <v>&lt;register address="E2H" name="PmeanBFLSB" type="R" description="Lower Word of Phase B Active Fundamental Power" designator="p.mean.b.f.l.s.b"/&gt;</v>
      </c>
    </row>
    <row r="178" spans="2:8">
      <c r="B178" s="1" t="s">
        <v>561</v>
      </c>
      <c r="C178" t="s">
        <v>562</v>
      </c>
      <c r="D178" t="s">
        <v>290</v>
      </c>
      <c r="E178" t="s">
        <v>590</v>
      </c>
      <c r="F178" t="str">
        <f t="shared" si="4"/>
        <v>p.mean.c.f.l.s.b</v>
      </c>
      <c r="G178" t="s">
        <v>788</v>
      </c>
      <c r="H178" t="str">
        <f t="shared" si="5"/>
        <v>&lt;register address="E3H" name="PmeanCFLSB" type="R" description="Lower Word of Phase C Active Fundamental Power" designator="p.mean.c.f.l.s.b"/&gt;</v>
      </c>
    </row>
    <row r="179" spans="2:8">
      <c r="B179" s="1" t="s">
        <v>563</v>
      </c>
      <c r="C179" t="s">
        <v>564</v>
      </c>
      <c r="D179" t="s">
        <v>290</v>
      </c>
      <c r="E179" t="s">
        <v>591</v>
      </c>
      <c r="F179" t="str">
        <f t="shared" si="4"/>
        <v>p.mean.t.h.l.s.b</v>
      </c>
      <c r="G179" t="s">
        <v>789</v>
      </c>
      <c r="H179" t="str">
        <f t="shared" si="5"/>
        <v>&lt;register address="E4H" name="PmeanTHLSB" type="R" description="Lower Word of Total Active Harmonic Power" designator="p.mean.t.h.l.s.b"/&gt;</v>
      </c>
    </row>
    <row r="180" spans="2:8">
      <c r="B180" s="1" t="s">
        <v>565</v>
      </c>
      <c r="C180" t="s">
        <v>566</v>
      </c>
      <c r="D180" t="s">
        <v>290</v>
      </c>
      <c r="E180" t="s">
        <v>592</v>
      </c>
      <c r="F180" t="str">
        <f t="shared" si="4"/>
        <v>p.mean.a.h.l.s.b</v>
      </c>
      <c r="G180" t="s">
        <v>790</v>
      </c>
      <c r="H180" t="str">
        <f t="shared" si="5"/>
        <v>&lt;register address="E5H" name="PmeanAHLSB" type="R" description="Lower Word of Phase A Active Harmonic Power" designator="p.mean.a.h.l.s.b"/&gt;</v>
      </c>
    </row>
    <row r="181" spans="2:8">
      <c r="B181" s="1" t="s">
        <v>567</v>
      </c>
      <c r="C181" t="s">
        <v>568</v>
      </c>
      <c r="D181" t="s">
        <v>290</v>
      </c>
      <c r="E181" t="s">
        <v>593</v>
      </c>
      <c r="F181" t="str">
        <f t="shared" si="4"/>
        <v>p.mean.b.h.l.s.b</v>
      </c>
      <c r="G181" t="s">
        <v>791</v>
      </c>
      <c r="H181" t="str">
        <f t="shared" si="5"/>
        <v>&lt;register address="E6H" name="PmeanBHLSB" type="R" description="Lower Word of Phase B Active Harmonic Power" designator="p.mean.b.h.l.s.b"/&gt;</v>
      </c>
    </row>
    <row r="182" spans="2:8">
      <c r="B182" s="1" t="s">
        <v>569</v>
      </c>
      <c r="C182" t="s">
        <v>570</v>
      </c>
      <c r="D182" t="s">
        <v>290</v>
      </c>
      <c r="E182" t="s">
        <v>594</v>
      </c>
      <c r="F182" t="str">
        <f t="shared" si="4"/>
        <v>p.mean.c.h.l.s.b</v>
      </c>
      <c r="G182" t="s">
        <v>792</v>
      </c>
      <c r="H182" t="str">
        <f t="shared" si="5"/>
        <v>&lt;register address="E7H" name="PmeanCHLSB" type="R" description="Lower Word of Phase C Active Harmonic Power" designator="p.mean.c.h.l.s.b"/&gt;</v>
      </c>
    </row>
    <row r="183" spans="2:8">
      <c r="B183" s="1" t="s">
        <v>571</v>
      </c>
      <c r="C183" t="s">
        <v>572</v>
      </c>
      <c r="D183" t="s">
        <v>290</v>
      </c>
      <c r="E183" t="s">
        <v>595</v>
      </c>
      <c r="F183" t="str">
        <f t="shared" si="4"/>
        <v>u.rms.a.l.s.b</v>
      </c>
      <c r="G183" t="s">
        <v>793</v>
      </c>
      <c r="H183" t="str">
        <f t="shared" si="5"/>
        <v>&lt;register address="E9H" name="UrmsALSB" type="R" description="Lower Word of Phase A Voltage RMS" designator="u.rms.a.l.s.b"/&gt;</v>
      </c>
    </row>
    <row r="184" spans="2:8">
      <c r="B184" s="1" t="s">
        <v>573</v>
      </c>
      <c r="C184" t="s">
        <v>574</v>
      </c>
      <c r="D184" t="s">
        <v>290</v>
      </c>
      <c r="E184" t="s">
        <v>596</v>
      </c>
      <c r="F184" t="str">
        <f t="shared" si="4"/>
        <v>u.rms.b.l.s.b</v>
      </c>
      <c r="G184" t="s">
        <v>794</v>
      </c>
      <c r="H184" t="str">
        <f t="shared" si="5"/>
        <v>&lt;register address="EAH" name="UrmsBLSB" type="R" description="Lower Word of Phase B Voltage RMS" designator="u.rms.b.l.s.b"/&gt;</v>
      </c>
    </row>
    <row r="185" spans="2:8">
      <c r="B185" s="1" t="s">
        <v>575</v>
      </c>
      <c r="C185" t="s">
        <v>576</v>
      </c>
      <c r="D185" t="s">
        <v>290</v>
      </c>
      <c r="E185" t="s">
        <v>597</v>
      </c>
      <c r="F185" t="str">
        <f t="shared" si="4"/>
        <v>u.rms.c.l.s.b</v>
      </c>
      <c r="G185" t="s">
        <v>795</v>
      </c>
      <c r="H185" t="str">
        <f t="shared" si="5"/>
        <v>&lt;register address="EBH" name="UrmsCLSB" type="R" description="Lower Word of Phase C Voltage RMS" designator="u.rms.c.l.s.b"/&gt;</v>
      </c>
    </row>
    <row r="186" spans="2:8">
      <c r="B186" s="1" t="s">
        <v>577</v>
      </c>
      <c r="C186" t="s">
        <v>578</v>
      </c>
      <c r="D186" t="s">
        <v>290</v>
      </c>
      <c r="E186" t="s">
        <v>598</v>
      </c>
      <c r="F186" t="str">
        <f t="shared" si="4"/>
        <v>i.rms.a.l.s.b</v>
      </c>
      <c r="G186" t="s">
        <v>796</v>
      </c>
      <c r="H186" t="str">
        <f t="shared" si="5"/>
        <v>&lt;register address="EDH" name="IrmsALSB" type="R" description="Lower Word of Phase A Current RMS" designator="i.rms.a.l.s.b"/&gt;</v>
      </c>
    </row>
    <row r="187" spans="2:8">
      <c r="B187" s="1" t="s">
        <v>579</v>
      </c>
      <c r="C187" t="s">
        <v>580</v>
      </c>
      <c r="D187" t="s">
        <v>290</v>
      </c>
      <c r="E187" t="s">
        <v>599</v>
      </c>
      <c r="F187" t="str">
        <f t="shared" si="4"/>
        <v>i.rms.b.l.s.b</v>
      </c>
      <c r="G187" t="s">
        <v>797</v>
      </c>
      <c r="H187" t="str">
        <f t="shared" si="5"/>
        <v>&lt;register address="EEH" name="IrmsBLSB" type="R" description="Lower Word of Phase B Current RMS" designator="i.rms.b.l.s.b"/&gt;</v>
      </c>
    </row>
    <row r="188" spans="2:8">
      <c r="B188" s="1" t="s">
        <v>581</v>
      </c>
      <c r="C188" t="s">
        <v>582</v>
      </c>
      <c r="D188" t="s">
        <v>290</v>
      </c>
      <c r="E188" t="s">
        <v>600</v>
      </c>
      <c r="F188" t="str">
        <f t="shared" si="4"/>
        <v>i.rms.c.l.s.b</v>
      </c>
      <c r="G188" t="s">
        <v>798</v>
      </c>
      <c r="H188" t="str">
        <f t="shared" si="5"/>
        <v>&lt;register address="EFH" name="IrmsCLSB" type="R" description="Lower Word of Phase C Current RMS" designator="i.rms.c.l.s.b"/&gt;</v>
      </c>
    </row>
    <row r="189" spans="2:8">
      <c r="B189" s="1" t="s">
        <v>601</v>
      </c>
      <c r="C189" t="s">
        <v>602</v>
      </c>
      <c r="D189" t="s">
        <v>290</v>
      </c>
      <c r="E189" s="1" t="s">
        <v>629</v>
      </c>
      <c r="F189" t="str">
        <f t="shared" si="4"/>
        <v>u.peak.a</v>
      </c>
      <c r="G189" t="s">
        <v>799</v>
      </c>
      <c r="H189" t="str">
        <f t="shared" si="5"/>
        <v>&lt;register address="F1H" name="UPeakA" type="R" description="Channel A Voltage Peak" designator="u.peak.a"/&gt;</v>
      </c>
    </row>
    <row r="190" spans="2:8">
      <c r="B190" s="1" t="s">
        <v>603</v>
      </c>
      <c r="C190" t="s">
        <v>604</v>
      </c>
      <c r="D190" t="s">
        <v>290</v>
      </c>
      <c r="E190" s="1" t="s">
        <v>630</v>
      </c>
      <c r="F190" t="str">
        <f t="shared" si="4"/>
        <v>u.peak.b</v>
      </c>
      <c r="G190" t="s">
        <v>800</v>
      </c>
      <c r="H190" t="str">
        <f t="shared" si="5"/>
        <v>&lt;register address="F2H" name="UPeakB" type="R" description="Channel B Voltage Peak" designator="u.peak.b"/&gt;</v>
      </c>
    </row>
    <row r="191" spans="2:8">
      <c r="B191" s="1" t="s">
        <v>605</v>
      </c>
      <c r="C191" t="s">
        <v>606</v>
      </c>
      <c r="D191" t="s">
        <v>290</v>
      </c>
      <c r="E191" s="1" t="s">
        <v>631</v>
      </c>
      <c r="F191" t="str">
        <f t="shared" si="4"/>
        <v>u.peak.c</v>
      </c>
      <c r="G191" t="s">
        <v>801</v>
      </c>
      <c r="H191" t="str">
        <f t="shared" si="5"/>
        <v>&lt;register address="F3H" name="UPeakC" type="R" description="Channel C Voltage Peak" designator="u.peak.c"/&gt;</v>
      </c>
    </row>
    <row r="192" spans="2:8">
      <c r="B192" s="1" t="s">
        <v>607</v>
      </c>
      <c r="C192" t="s">
        <v>608</v>
      </c>
      <c r="D192" t="s">
        <v>290</v>
      </c>
      <c r="E192" s="1" t="s">
        <v>632</v>
      </c>
      <c r="F192" t="str">
        <f t="shared" si="4"/>
        <v>i.peak.a</v>
      </c>
      <c r="G192" t="s">
        <v>802</v>
      </c>
      <c r="H192" t="str">
        <f t="shared" si="5"/>
        <v>&lt;register address="F5H" name="IPeakA" type="R" description="Channel A Current Peak" designator="i.peak.a"/&gt;</v>
      </c>
    </row>
    <row r="193" spans="2:8">
      <c r="B193" s="1" t="s">
        <v>609</v>
      </c>
      <c r="C193" t="s">
        <v>610</v>
      </c>
      <c r="D193" t="s">
        <v>290</v>
      </c>
      <c r="E193" s="1" t="s">
        <v>633</v>
      </c>
      <c r="F193" t="str">
        <f t="shared" si="4"/>
        <v>i.peak.b</v>
      </c>
      <c r="G193" t="s">
        <v>803</v>
      </c>
      <c r="H193" t="str">
        <f t="shared" si="5"/>
        <v>&lt;register address="F6H" name="IPeakB" type="R" description="Channel B Current Peak" designator="i.peak.b"/&gt;</v>
      </c>
    </row>
    <row r="194" spans="2:8">
      <c r="B194" s="1" t="s">
        <v>611</v>
      </c>
      <c r="C194" t="s">
        <v>612</v>
      </c>
      <c r="D194" t="s">
        <v>290</v>
      </c>
      <c r="E194" s="1" t="s">
        <v>634</v>
      </c>
      <c r="F194" t="str">
        <f t="shared" ref="F194:F202" si="6">LOWER(G194)</f>
        <v>i.peak.c</v>
      </c>
      <c r="G194" t="s">
        <v>804</v>
      </c>
      <c r="H194" t="str">
        <f t="shared" ref="H194:H202" si="7">CONCATENATE("&lt;register address=""",B194,""" name=""",C194,""" type=""",D194,""" description=""",E194,""" designator=""",F194,"""/&gt;")</f>
        <v>&lt;register address="F7H" name="IPeakC" type="R" description="Channel C Current Peak" designator="i.peak.c"/&gt;</v>
      </c>
    </row>
    <row r="195" spans="2:8">
      <c r="B195" s="1" t="s">
        <v>613</v>
      </c>
      <c r="C195" t="s">
        <v>614</v>
      </c>
      <c r="D195" t="s">
        <v>290</v>
      </c>
      <c r="E195" s="1" t="s">
        <v>635</v>
      </c>
      <c r="F195" t="str">
        <f t="shared" si="6"/>
        <v>freq</v>
      </c>
      <c r="G195" t="s">
        <v>614</v>
      </c>
      <c r="H195" t="str">
        <f t="shared" si="7"/>
        <v>&lt;register address="F8H" name="Freq" type="R" description="Frequency" designator="freq"/&gt;</v>
      </c>
    </row>
    <row r="196" spans="2:8">
      <c r="B196" s="1" t="s">
        <v>615</v>
      </c>
      <c r="C196" t="s">
        <v>616</v>
      </c>
      <c r="D196" t="s">
        <v>290</v>
      </c>
      <c r="E196" s="1" t="s">
        <v>636</v>
      </c>
      <c r="F196" t="str">
        <f t="shared" si="6"/>
        <v>p.angle.a</v>
      </c>
      <c r="G196" t="s">
        <v>805</v>
      </c>
      <c r="H196" t="str">
        <f t="shared" si="7"/>
        <v>&lt;register address="F9H" name="PAngleA" type="R" description="Phase A Mean Phase Angle" designator="p.angle.a"/&gt;</v>
      </c>
    </row>
    <row r="197" spans="2:8">
      <c r="B197" s="1" t="s">
        <v>617</v>
      </c>
      <c r="C197" t="s">
        <v>618</v>
      </c>
      <c r="D197" t="s">
        <v>290</v>
      </c>
      <c r="E197" s="1" t="s">
        <v>637</v>
      </c>
      <c r="F197" t="str">
        <f t="shared" si="6"/>
        <v>p.angle.b</v>
      </c>
      <c r="G197" t="s">
        <v>806</v>
      </c>
      <c r="H197" t="str">
        <f t="shared" si="7"/>
        <v>&lt;register address="FAH" name="PAngleB" type="R" description="Phase B Mean Phase Angle" designator="p.angle.b"/&gt;</v>
      </c>
    </row>
    <row r="198" spans="2:8">
      <c r="B198" s="1" t="s">
        <v>619</v>
      </c>
      <c r="C198" t="s">
        <v>620</v>
      </c>
      <c r="D198" t="s">
        <v>290</v>
      </c>
      <c r="E198" s="1" t="s">
        <v>638</v>
      </c>
      <c r="F198" t="str">
        <f t="shared" si="6"/>
        <v>p.angle.c</v>
      </c>
      <c r="G198" t="s">
        <v>807</v>
      </c>
      <c r="H198" t="str">
        <f t="shared" si="7"/>
        <v>&lt;register address="FBH" name="PAngleC" type="R" description="Phase C Mean Phase Angle" designator="p.angle.c"/&gt;</v>
      </c>
    </row>
    <row r="199" spans="2:8">
      <c r="B199" s="1" t="s">
        <v>621</v>
      </c>
      <c r="C199" t="s">
        <v>622</v>
      </c>
      <c r="D199" t="s">
        <v>290</v>
      </c>
      <c r="E199" s="1" t="s">
        <v>639</v>
      </c>
      <c r="F199" t="str">
        <f t="shared" si="6"/>
        <v>temp</v>
      </c>
      <c r="G199" t="s">
        <v>622</v>
      </c>
      <c r="H199" t="str">
        <f t="shared" si="7"/>
        <v>&lt;register address="FCH" name="Temp" type="R" description="Measured Temperature" designator="temp"/&gt;</v>
      </c>
    </row>
    <row r="200" spans="2:8">
      <c r="B200" s="1" t="s">
        <v>623</v>
      </c>
      <c r="C200" t="s">
        <v>624</v>
      </c>
      <c r="D200" t="s">
        <v>290</v>
      </c>
      <c r="E200" s="1" t="s">
        <v>640</v>
      </c>
      <c r="F200" t="str">
        <f t="shared" si="6"/>
        <v>u.angle.a</v>
      </c>
      <c r="G200" t="s">
        <v>808</v>
      </c>
      <c r="H200" t="str">
        <f t="shared" si="7"/>
        <v>&lt;register address="FDH" name="UangleA" type="R" description="Phase A Voltage Phase Angle" designator="u.angle.a"/&gt;</v>
      </c>
    </row>
    <row r="201" spans="2:8">
      <c r="B201" s="1" t="s">
        <v>625</v>
      </c>
      <c r="C201" t="s">
        <v>626</v>
      </c>
      <c r="D201" t="s">
        <v>290</v>
      </c>
      <c r="E201" s="1" t="s">
        <v>641</v>
      </c>
      <c r="F201" t="str">
        <f t="shared" si="6"/>
        <v>u.angle.b</v>
      </c>
      <c r="G201" t="s">
        <v>809</v>
      </c>
      <c r="H201" t="str">
        <f t="shared" si="7"/>
        <v>&lt;register address="FEH" name="UangleB" type="R" description="Phase B Voltage Phase Angle" designator="u.angle.b"/&gt;</v>
      </c>
    </row>
    <row r="202" spans="2:8">
      <c r="B202" s="1" t="s">
        <v>627</v>
      </c>
      <c r="C202" t="s">
        <v>628</v>
      </c>
      <c r="D202" t="s">
        <v>290</v>
      </c>
      <c r="E202" s="1" t="s">
        <v>642</v>
      </c>
      <c r="F202" t="str">
        <f>LOWER(G202)</f>
        <v>u.angle.c</v>
      </c>
      <c r="G202" t="s">
        <v>810</v>
      </c>
      <c r="H202" t="str">
        <f t="shared" si="7"/>
        <v>&lt;register address="FFH" name="UangleC" type="R" description="Phase C Voltage Phase Angle" designator="u.angle.c"/&gt;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E203"/>
  <sheetViews>
    <sheetView topLeftCell="A151" workbookViewId="0">
      <selection activeCell="D202" sqref="D202"/>
    </sheetView>
  </sheetViews>
  <sheetFormatPr defaultRowHeight="15"/>
  <cols>
    <col min="3" max="3" width="9.140625" style="5"/>
  </cols>
  <sheetData>
    <row r="2" spans="3:5">
      <c r="C2" s="6">
        <v>0</v>
      </c>
      <c r="D2">
        <f>HEX2DEC(C2)</f>
        <v>0</v>
      </c>
      <c r="E2">
        <f>D3-D2</f>
        <v>1</v>
      </c>
    </row>
    <row r="3" spans="3:5">
      <c r="C3" s="6">
        <v>1</v>
      </c>
      <c r="D3">
        <f t="shared" ref="D3:D66" si="0">HEX2DEC(C3)</f>
        <v>1</v>
      </c>
      <c r="E3">
        <f t="shared" ref="E3:E66" si="1">D4-D3</f>
        <v>1</v>
      </c>
    </row>
    <row r="4" spans="3:5">
      <c r="C4" s="6">
        <v>2</v>
      </c>
      <c r="D4">
        <f t="shared" si="0"/>
        <v>2</v>
      </c>
      <c r="E4">
        <f t="shared" si="1"/>
        <v>3</v>
      </c>
    </row>
    <row r="5" spans="3:5">
      <c r="C5" s="6">
        <v>5</v>
      </c>
      <c r="D5">
        <f t="shared" si="0"/>
        <v>5</v>
      </c>
      <c r="E5">
        <f t="shared" si="1"/>
        <v>1</v>
      </c>
    </row>
    <row r="6" spans="3:5">
      <c r="C6" s="6">
        <v>6</v>
      </c>
      <c r="D6">
        <f t="shared" si="0"/>
        <v>6</v>
      </c>
      <c r="E6">
        <f t="shared" si="1"/>
        <v>1</v>
      </c>
    </row>
    <row r="7" spans="3:5">
      <c r="C7" s="6">
        <v>7</v>
      </c>
      <c r="D7">
        <f t="shared" si="0"/>
        <v>7</v>
      </c>
      <c r="E7">
        <f t="shared" si="1"/>
        <v>1</v>
      </c>
    </row>
    <row r="8" spans="3:5">
      <c r="C8" s="6">
        <v>8</v>
      </c>
      <c r="D8">
        <f t="shared" si="0"/>
        <v>8</v>
      </c>
      <c r="E8">
        <f t="shared" si="1"/>
        <v>1</v>
      </c>
    </row>
    <row r="9" spans="3:5">
      <c r="C9" s="6">
        <v>9</v>
      </c>
      <c r="D9">
        <f t="shared" si="0"/>
        <v>9</v>
      </c>
      <c r="E9">
        <f t="shared" si="1"/>
        <v>1</v>
      </c>
    </row>
    <row r="10" spans="3:5">
      <c r="C10" s="6" t="s">
        <v>811</v>
      </c>
      <c r="D10">
        <f t="shared" si="0"/>
        <v>10</v>
      </c>
      <c r="E10">
        <f t="shared" si="1"/>
        <v>1</v>
      </c>
    </row>
    <row r="11" spans="3:5">
      <c r="C11" s="6" t="s">
        <v>812</v>
      </c>
      <c r="D11">
        <f t="shared" si="0"/>
        <v>11</v>
      </c>
      <c r="E11">
        <f t="shared" si="1"/>
        <v>1</v>
      </c>
    </row>
    <row r="12" spans="3:5">
      <c r="C12" s="6" t="s">
        <v>813</v>
      </c>
      <c r="D12">
        <f t="shared" si="0"/>
        <v>12</v>
      </c>
      <c r="E12">
        <f t="shared" si="1"/>
        <v>1</v>
      </c>
    </row>
    <row r="13" spans="3:5">
      <c r="C13" s="6" t="s">
        <v>814</v>
      </c>
      <c r="D13">
        <f t="shared" si="0"/>
        <v>13</v>
      </c>
      <c r="E13">
        <f t="shared" si="1"/>
        <v>1</v>
      </c>
    </row>
    <row r="14" spans="3:5">
      <c r="C14" s="6" t="s">
        <v>815</v>
      </c>
      <c r="D14">
        <f t="shared" si="0"/>
        <v>14</v>
      </c>
      <c r="E14">
        <f t="shared" si="1"/>
        <v>1</v>
      </c>
    </row>
    <row r="15" spans="3:5">
      <c r="C15" s="6" t="s">
        <v>816</v>
      </c>
      <c r="D15">
        <f t="shared" si="0"/>
        <v>15</v>
      </c>
      <c r="E15">
        <f t="shared" si="1"/>
        <v>1</v>
      </c>
    </row>
    <row r="16" spans="3:5">
      <c r="C16" s="6">
        <v>10</v>
      </c>
      <c r="D16">
        <f t="shared" si="0"/>
        <v>16</v>
      </c>
      <c r="E16">
        <f t="shared" si="1"/>
        <v>1</v>
      </c>
    </row>
    <row r="17" spans="3:5">
      <c r="C17" s="6">
        <v>11</v>
      </c>
      <c r="D17">
        <f t="shared" si="0"/>
        <v>17</v>
      </c>
      <c r="E17">
        <f t="shared" si="1"/>
        <v>1</v>
      </c>
    </row>
    <row r="18" spans="3:5">
      <c r="C18" s="6">
        <v>12</v>
      </c>
      <c r="D18">
        <f t="shared" si="0"/>
        <v>18</v>
      </c>
      <c r="E18">
        <f t="shared" si="1"/>
        <v>1</v>
      </c>
    </row>
    <row r="19" spans="3:5">
      <c r="C19" s="6">
        <v>13</v>
      </c>
      <c r="D19">
        <f t="shared" si="0"/>
        <v>19</v>
      </c>
      <c r="E19">
        <f t="shared" si="1"/>
        <v>1</v>
      </c>
    </row>
    <row r="20" spans="3:5">
      <c r="C20" s="6">
        <v>14</v>
      </c>
      <c r="D20">
        <f t="shared" si="0"/>
        <v>20</v>
      </c>
      <c r="E20">
        <f t="shared" si="1"/>
        <v>1</v>
      </c>
    </row>
    <row r="21" spans="3:5">
      <c r="C21" s="6">
        <v>15</v>
      </c>
      <c r="D21">
        <f t="shared" si="0"/>
        <v>21</v>
      </c>
      <c r="E21">
        <f t="shared" si="1"/>
        <v>1</v>
      </c>
    </row>
    <row r="22" spans="3:5">
      <c r="C22" s="6">
        <v>16</v>
      </c>
      <c r="D22">
        <f t="shared" si="0"/>
        <v>22</v>
      </c>
      <c r="E22">
        <f t="shared" si="1"/>
        <v>1</v>
      </c>
    </row>
    <row r="23" spans="3:5">
      <c r="C23" s="6">
        <v>17</v>
      </c>
      <c r="D23">
        <f t="shared" si="0"/>
        <v>23</v>
      </c>
      <c r="E23">
        <f t="shared" si="1"/>
        <v>1</v>
      </c>
    </row>
    <row r="24" spans="3:5">
      <c r="C24" s="6">
        <v>18</v>
      </c>
      <c r="D24">
        <f t="shared" si="0"/>
        <v>24</v>
      </c>
      <c r="E24">
        <f t="shared" si="1"/>
        <v>1</v>
      </c>
    </row>
    <row r="25" spans="3:5">
      <c r="C25" s="6">
        <v>19</v>
      </c>
      <c r="D25">
        <f t="shared" si="0"/>
        <v>25</v>
      </c>
      <c r="E25">
        <f t="shared" si="1"/>
        <v>1</v>
      </c>
    </row>
    <row r="26" spans="3:5">
      <c r="C26" s="6" t="s">
        <v>817</v>
      </c>
      <c r="D26">
        <f t="shared" si="0"/>
        <v>26</v>
      </c>
      <c r="E26">
        <f t="shared" si="1"/>
        <v>1</v>
      </c>
    </row>
    <row r="27" spans="3:5">
      <c r="C27" s="6" t="s">
        <v>818</v>
      </c>
      <c r="D27">
        <f t="shared" si="0"/>
        <v>27</v>
      </c>
      <c r="E27">
        <f t="shared" si="1"/>
        <v>1</v>
      </c>
    </row>
    <row r="28" spans="3:5">
      <c r="C28" s="6" t="s">
        <v>819</v>
      </c>
      <c r="D28">
        <f t="shared" si="0"/>
        <v>28</v>
      </c>
      <c r="E28">
        <f t="shared" si="1"/>
        <v>4</v>
      </c>
    </row>
    <row r="29" spans="3:5">
      <c r="C29" s="6">
        <v>20</v>
      </c>
      <c r="D29">
        <f t="shared" si="0"/>
        <v>32</v>
      </c>
      <c r="E29">
        <f t="shared" si="1"/>
        <v>1</v>
      </c>
    </row>
    <row r="30" spans="3:5">
      <c r="C30" s="6">
        <v>21</v>
      </c>
      <c r="D30">
        <f t="shared" si="0"/>
        <v>33</v>
      </c>
      <c r="E30">
        <f t="shared" si="1"/>
        <v>1</v>
      </c>
    </row>
    <row r="31" spans="3:5">
      <c r="C31" s="6">
        <v>22</v>
      </c>
      <c r="D31">
        <f t="shared" si="0"/>
        <v>34</v>
      </c>
      <c r="E31">
        <f t="shared" si="1"/>
        <v>1</v>
      </c>
    </row>
    <row r="32" spans="3:5">
      <c r="C32" s="6">
        <v>23</v>
      </c>
      <c r="D32">
        <f t="shared" si="0"/>
        <v>35</v>
      </c>
      <c r="E32">
        <f t="shared" si="1"/>
        <v>1</v>
      </c>
    </row>
    <row r="33" spans="3:5">
      <c r="C33" s="6">
        <v>24</v>
      </c>
      <c r="D33">
        <f t="shared" si="0"/>
        <v>36</v>
      </c>
      <c r="E33">
        <f t="shared" si="1"/>
        <v>1</v>
      </c>
    </row>
    <row r="34" spans="3:5">
      <c r="C34" s="6">
        <v>25</v>
      </c>
      <c r="D34">
        <f t="shared" si="0"/>
        <v>37</v>
      </c>
      <c r="E34">
        <f t="shared" si="1"/>
        <v>1</v>
      </c>
    </row>
    <row r="35" spans="3:5">
      <c r="C35" s="6">
        <v>26</v>
      </c>
      <c r="D35">
        <f t="shared" si="0"/>
        <v>38</v>
      </c>
      <c r="E35">
        <f t="shared" si="1"/>
        <v>1</v>
      </c>
    </row>
    <row r="36" spans="3:5">
      <c r="C36" s="6">
        <v>27</v>
      </c>
      <c r="D36">
        <f t="shared" si="0"/>
        <v>39</v>
      </c>
      <c r="E36">
        <f t="shared" si="1"/>
        <v>1</v>
      </c>
    </row>
    <row r="37" spans="3:5">
      <c r="C37" s="6">
        <v>28</v>
      </c>
      <c r="D37">
        <f t="shared" si="0"/>
        <v>40</v>
      </c>
      <c r="E37">
        <f t="shared" si="1"/>
        <v>1</v>
      </c>
    </row>
    <row r="38" spans="3:5">
      <c r="C38" s="6">
        <v>29</v>
      </c>
      <c r="D38">
        <f t="shared" si="0"/>
        <v>41</v>
      </c>
      <c r="E38">
        <f t="shared" si="1"/>
        <v>1</v>
      </c>
    </row>
    <row r="39" spans="3:5">
      <c r="C39" s="6" t="s">
        <v>820</v>
      </c>
      <c r="D39">
        <f t="shared" si="0"/>
        <v>42</v>
      </c>
      <c r="E39">
        <f t="shared" si="1"/>
        <v>1</v>
      </c>
    </row>
    <row r="40" spans="3:5">
      <c r="C40" s="6" t="s">
        <v>821</v>
      </c>
      <c r="D40">
        <f t="shared" si="0"/>
        <v>43</v>
      </c>
      <c r="E40">
        <f t="shared" si="1"/>
        <v>1</v>
      </c>
    </row>
    <row r="41" spans="3:5">
      <c r="C41" s="6" t="s">
        <v>822</v>
      </c>
      <c r="D41">
        <f t="shared" si="0"/>
        <v>44</v>
      </c>
      <c r="E41">
        <f t="shared" si="1"/>
        <v>1</v>
      </c>
    </row>
    <row r="42" spans="3:5">
      <c r="C42" s="6" t="s">
        <v>823</v>
      </c>
      <c r="D42">
        <f t="shared" si="0"/>
        <v>45</v>
      </c>
      <c r="E42">
        <f t="shared" si="1"/>
        <v>1</v>
      </c>
    </row>
    <row r="43" spans="3:5">
      <c r="C43" s="6" t="s">
        <v>824</v>
      </c>
      <c r="D43">
        <f t="shared" si="0"/>
        <v>46</v>
      </c>
      <c r="E43">
        <f t="shared" si="1"/>
        <v>1</v>
      </c>
    </row>
    <row r="44" spans="3:5">
      <c r="C44" s="6" t="s">
        <v>825</v>
      </c>
      <c r="D44">
        <f t="shared" si="0"/>
        <v>47</v>
      </c>
      <c r="E44">
        <f t="shared" si="1"/>
        <v>2</v>
      </c>
    </row>
    <row r="45" spans="3:5">
      <c r="C45" s="6">
        <v>31</v>
      </c>
      <c r="D45">
        <f t="shared" si="0"/>
        <v>49</v>
      </c>
      <c r="E45">
        <f t="shared" si="1"/>
        <v>1</v>
      </c>
    </row>
    <row r="46" spans="3:5">
      <c r="C46" s="6">
        <v>32</v>
      </c>
      <c r="D46">
        <f t="shared" si="0"/>
        <v>50</v>
      </c>
      <c r="E46">
        <f t="shared" si="1"/>
        <v>1</v>
      </c>
    </row>
    <row r="47" spans="3:5">
      <c r="C47" s="6">
        <v>33</v>
      </c>
      <c r="D47">
        <f t="shared" si="0"/>
        <v>51</v>
      </c>
      <c r="E47">
        <f t="shared" si="1"/>
        <v>1</v>
      </c>
    </row>
    <row r="48" spans="3:5">
      <c r="C48" s="6">
        <v>34</v>
      </c>
      <c r="D48">
        <f t="shared" si="0"/>
        <v>52</v>
      </c>
      <c r="E48">
        <f t="shared" si="1"/>
        <v>1</v>
      </c>
    </row>
    <row r="49" spans="3:5">
      <c r="C49" s="6">
        <v>35</v>
      </c>
      <c r="D49">
        <f t="shared" si="0"/>
        <v>53</v>
      </c>
      <c r="E49">
        <f t="shared" si="1"/>
        <v>1</v>
      </c>
    </row>
    <row r="50" spans="3:5">
      <c r="C50" s="6">
        <v>36</v>
      </c>
      <c r="D50">
        <f t="shared" si="0"/>
        <v>54</v>
      </c>
      <c r="E50">
        <f t="shared" si="1"/>
        <v>1</v>
      </c>
    </row>
    <row r="51" spans="3:5">
      <c r="C51" s="6">
        <v>37</v>
      </c>
      <c r="D51">
        <f t="shared" si="0"/>
        <v>55</v>
      </c>
      <c r="E51">
        <f t="shared" si="1"/>
        <v>1</v>
      </c>
    </row>
    <row r="52" spans="3:5">
      <c r="C52" s="6">
        <v>38</v>
      </c>
      <c r="D52">
        <f t="shared" si="0"/>
        <v>56</v>
      </c>
      <c r="E52">
        <f t="shared" si="1"/>
        <v>1</v>
      </c>
    </row>
    <row r="53" spans="3:5">
      <c r="C53" s="6">
        <v>39</v>
      </c>
      <c r="D53">
        <f t="shared" si="0"/>
        <v>57</v>
      </c>
      <c r="E53">
        <f t="shared" si="1"/>
        <v>1</v>
      </c>
    </row>
    <row r="54" spans="3:5">
      <c r="C54" s="6" t="s">
        <v>826</v>
      </c>
      <c r="D54">
        <f t="shared" si="0"/>
        <v>58</v>
      </c>
      <c r="E54">
        <f t="shared" si="1"/>
        <v>7</v>
      </c>
    </row>
    <row r="55" spans="3:5">
      <c r="C55" s="6">
        <v>41</v>
      </c>
      <c r="D55">
        <f t="shared" si="0"/>
        <v>65</v>
      </c>
      <c r="E55">
        <f t="shared" si="1"/>
        <v>1</v>
      </c>
    </row>
    <row r="56" spans="3:5">
      <c r="C56" s="6">
        <v>42</v>
      </c>
      <c r="D56">
        <f t="shared" si="0"/>
        <v>66</v>
      </c>
      <c r="E56">
        <f t="shared" si="1"/>
        <v>1</v>
      </c>
    </row>
    <row r="57" spans="3:5">
      <c r="C57" s="6">
        <v>43</v>
      </c>
      <c r="D57">
        <f t="shared" si="0"/>
        <v>67</v>
      </c>
      <c r="E57">
        <f t="shared" si="1"/>
        <v>1</v>
      </c>
    </row>
    <row r="58" spans="3:5">
      <c r="C58" s="6">
        <v>44</v>
      </c>
      <c r="D58">
        <f t="shared" si="0"/>
        <v>68</v>
      </c>
      <c r="E58">
        <f t="shared" si="1"/>
        <v>1</v>
      </c>
    </row>
    <row r="59" spans="3:5">
      <c r="C59" s="6">
        <v>45</v>
      </c>
      <c r="D59">
        <f t="shared" si="0"/>
        <v>69</v>
      </c>
      <c r="E59">
        <f t="shared" si="1"/>
        <v>1</v>
      </c>
    </row>
    <row r="60" spans="3:5">
      <c r="C60" s="6">
        <v>46</v>
      </c>
      <c r="D60">
        <f t="shared" si="0"/>
        <v>70</v>
      </c>
      <c r="E60">
        <f t="shared" si="1"/>
        <v>1</v>
      </c>
    </row>
    <row r="61" spans="3:5">
      <c r="C61" s="6">
        <v>47</v>
      </c>
      <c r="D61">
        <f t="shared" si="0"/>
        <v>71</v>
      </c>
      <c r="E61">
        <f t="shared" si="1"/>
        <v>1</v>
      </c>
    </row>
    <row r="62" spans="3:5">
      <c r="C62" s="6">
        <v>48</v>
      </c>
      <c r="D62">
        <f t="shared" si="0"/>
        <v>72</v>
      </c>
      <c r="E62">
        <f t="shared" si="1"/>
        <v>1</v>
      </c>
    </row>
    <row r="63" spans="3:5">
      <c r="C63" s="6">
        <v>49</v>
      </c>
      <c r="D63">
        <f t="shared" si="0"/>
        <v>73</v>
      </c>
      <c r="E63">
        <f t="shared" si="1"/>
        <v>1</v>
      </c>
    </row>
    <row r="64" spans="3:5">
      <c r="C64" s="6" t="s">
        <v>827</v>
      </c>
      <c r="D64">
        <f t="shared" si="0"/>
        <v>74</v>
      </c>
      <c r="E64">
        <f t="shared" si="1"/>
        <v>1</v>
      </c>
    </row>
    <row r="65" spans="3:5">
      <c r="C65" s="6" t="s">
        <v>828</v>
      </c>
      <c r="D65">
        <f t="shared" si="0"/>
        <v>75</v>
      </c>
      <c r="E65">
        <f t="shared" si="1"/>
        <v>1</v>
      </c>
    </row>
    <row r="66" spans="3:5">
      <c r="C66" s="6" t="s">
        <v>829</v>
      </c>
      <c r="D66">
        <f t="shared" si="0"/>
        <v>76</v>
      </c>
      <c r="E66">
        <f t="shared" si="1"/>
        <v>5</v>
      </c>
    </row>
    <row r="67" spans="3:5">
      <c r="C67" s="6">
        <v>51</v>
      </c>
      <c r="D67">
        <f t="shared" ref="D67:D130" si="2">HEX2DEC(C67)</f>
        <v>81</v>
      </c>
      <c r="E67">
        <f t="shared" ref="E67:E130" si="3">D68-D67</f>
        <v>1</v>
      </c>
    </row>
    <row r="68" spans="3:5">
      <c r="C68" s="6">
        <v>52</v>
      </c>
      <c r="D68">
        <f t="shared" si="2"/>
        <v>82</v>
      </c>
      <c r="E68">
        <f t="shared" si="3"/>
        <v>1</v>
      </c>
    </row>
    <row r="69" spans="3:5">
      <c r="C69" s="6">
        <v>53</v>
      </c>
      <c r="D69">
        <f t="shared" si="2"/>
        <v>83</v>
      </c>
      <c r="E69">
        <f t="shared" si="3"/>
        <v>1</v>
      </c>
    </row>
    <row r="70" spans="3:5">
      <c r="C70" s="6">
        <v>54</v>
      </c>
      <c r="D70">
        <f t="shared" si="2"/>
        <v>84</v>
      </c>
      <c r="E70">
        <f t="shared" si="3"/>
        <v>1</v>
      </c>
    </row>
    <row r="71" spans="3:5">
      <c r="C71" s="6">
        <v>55</v>
      </c>
      <c r="D71">
        <f t="shared" si="2"/>
        <v>85</v>
      </c>
      <c r="E71">
        <f t="shared" si="3"/>
        <v>1</v>
      </c>
    </row>
    <row r="72" spans="3:5">
      <c r="C72" s="6">
        <v>56</v>
      </c>
      <c r="D72">
        <f t="shared" si="2"/>
        <v>86</v>
      </c>
      <c r="E72">
        <f t="shared" si="3"/>
        <v>11</v>
      </c>
    </row>
    <row r="73" spans="3:5">
      <c r="C73" s="6">
        <v>61</v>
      </c>
      <c r="D73">
        <f t="shared" si="2"/>
        <v>97</v>
      </c>
      <c r="E73">
        <f t="shared" si="3"/>
        <v>1</v>
      </c>
    </row>
    <row r="74" spans="3:5">
      <c r="C74" s="6">
        <v>62</v>
      </c>
      <c r="D74">
        <f t="shared" si="2"/>
        <v>98</v>
      </c>
      <c r="E74">
        <f t="shared" si="3"/>
        <v>1</v>
      </c>
    </row>
    <row r="75" spans="3:5">
      <c r="C75" s="6">
        <v>63</v>
      </c>
      <c r="D75">
        <f t="shared" si="2"/>
        <v>99</v>
      </c>
      <c r="E75">
        <f t="shared" si="3"/>
        <v>1</v>
      </c>
    </row>
    <row r="76" spans="3:5">
      <c r="C76" s="6">
        <v>64</v>
      </c>
      <c r="D76">
        <f t="shared" si="2"/>
        <v>100</v>
      </c>
      <c r="E76">
        <f t="shared" si="3"/>
        <v>1</v>
      </c>
    </row>
    <row r="77" spans="3:5">
      <c r="C77" s="6">
        <v>65</v>
      </c>
      <c r="D77">
        <f t="shared" si="2"/>
        <v>101</v>
      </c>
      <c r="E77">
        <f t="shared" si="3"/>
        <v>1</v>
      </c>
    </row>
    <row r="78" spans="3:5">
      <c r="C78" s="6">
        <v>66</v>
      </c>
      <c r="D78">
        <f t="shared" si="2"/>
        <v>102</v>
      </c>
      <c r="E78">
        <f t="shared" si="3"/>
        <v>1</v>
      </c>
    </row>
    <row r="79" spans="3:5">
      <c r="C79" s="6">
        <v>67</v>
      </c>
      <c r="D79">
        <f t="shared" si="2"/>
        <v>103</v>
      </c>
      <c r="E79">
        <f t="shared" si="3"/>
        <v>1</v>
      </c>
    </row>
    <row r="80" spans="3:5">
      <c r="C80" s="6">
        <v>68</v>
      </c>
      <c r="D80">
        <f t="shared" si="2"/>
        <v>104</v>
      </c>
      <c r="E80">
        <f t="shared" si="3"/>
        <v>1</v>
      </c>
    </row>
    <row r="81" spans="3:5">
      <c r="C81" s="6">
        <v>69</v>
      </c>
      <c r="D81">
        <f t="shared" si="2"/>
        <v>105</v>
      </c>
      <c r="E81">
        <f t="shared" si="3"/>
        <v>1</v>
      </c>
    </row>
    <row r="82" spans="3:5">
      <c r="C82" s="6" t="s">
        <v>830</v>
      </c>
      <c r="D82">
        <f t="shared" si="2"/>
        <v>106</v>
      </c>
      <c r="E82">
        <f t="shared" si="3"/>
        <v>1</v>
      </c>
    </row>
    <row r="83" spans="3:5">
      <c r="C83" s="6" t="s">
        <v>831</v>
      </c>
      <c r="D83">
        <f t="shared" si="2"/>
        <v>107</v>
      </c>
      <c r="E83">
        <f t="shared" si="3"/>
        <v>1</v>
      </c>
    </row>
    <row r="84" spans="3:5">
      <c r="C84" s="6" t="s">
        <v>832</v>
      </c>
      <c r="D84">
        <f t="shared" si="2"/>
        <v>108</v>
      </c>
      <c r="E84">
        <f t="shared" si="3"/>
        <v>4</v>
      </c>
    </row>
    <row r="85" spans="3:5">
      <c r="C85" s="6">
        <v>70</v>
      </c>
      <c r="D85">
        <f t="shared" si="2"/>
        <v>112</v>
      </c>
      <c r="E85">
        <f t="shared" si="3"/>
        <v>1</v>
      </c>
    </row>
    <row r="86" spans="3:5">
      <c r="C86" s="6">
        <v>71</v>
      </c>
      <c r="D86">
        <f t="shared" si="2"/>
        <v>113</v>
      </c>
      <c r="E86">
        <f t="shared" si="3"/>
        <v>1</v>
      </c>
    </row>
    <row r="87" spans="3:5">
      <c r="C87" s="6">
        <v>72</v>
      </c>
      <c r="D87">
        <f t="shared" si="2"/>
        <v>114</v>
      </c>
      <c r="E87">
        <f t="shared" si="3"/>
        <v>1</v>
      </c>
    </row>
    <row r="88" spans="3:5">
      <c r="C88" s="6">
        <v>73</v>
      </c>
      <c r="D88">
        <f t="shared" si="2"/>
        <v>115</v>
      </c>
      <c r="E88">
        <f t="shared" si="3"/>
        <v>1</v>
      </c>
    </row>
    <row r="89" spans="3:5">
      <c r="C89" s="6">
        <v>74</v>
      </c>
      <c r="D89">
        <f t="shared" si="2"/>
        <v>116</v>
      </c>
      <c r="E89">
        <f t="shared" si="3"/>
        <v>1</v>
      </c>
    </row>
    <row r="90" spans="3:5">
      <c r="C90" s="6">
        <v>75</v>
      </c>
      <c r="D90">
        <f t="shared" si="2"/>
        <v>117</v>
      </c>
      <c r="E90">
        <f t="shared" si="3"/>
        <v>1</v>
      </c>
    </row>
    <row r="91" spans="3:5">
      <c r="C91" s="6">
        <v>76</v>
      </c>
      <c r="D91">
        <f t="shared" si="2"/>
        <v>118</v>
      </c>
      <c r="E91">
        <f t="shared" si="3"/>
        <v>2</v>
      </c>
    </row>
    <row r="92" spans="3:5">
      <c r="C92" s="6">
        <v>78</v>
      </c>
      <c r="D92">
        <f t="shared" si="2"/>
        <v>120</v>
      </c>
      <c r="E92">
        <f t="shared" si="3"/>
        <v>1</v>
      </c>
    </row>
    <row r="93" spans="3:5">
      <c r="C93" s="6">
        <v>79</v>
      </c>
      <c r="D93">
        <f t="shared" si="2"/>
        <v>121</v>
      </c>
      <c r="E93">
        <f t="shared" si="3"/>
        <v>1</v>
      </c>
    </row>
    <row r="94" spans="3:5">
      <c r="C94" s="6" t="s">
        <v>833</v>
      </c>
      <c r="D94">
        <f t="shared" si="2"/>
        <v>122</v>
      </c>
      <c r="E94">
        <f t="shared" si="3"/>
        <v>5</v>
      </c>
    </row>
    <row r="95" spans="3:5">
      <c r="C95" s="6" t="s">
        <v>834</v>
      </c>
      <c r="D95">
        <f t="shared" si="2"/>
        <v>127</v>
      </c>
      <c r="E95">
        <f t="shared" si="3"/>
        <v>1</v>
      </c>
    </row>
    <row r="96" spans="3:5">
      <c r="C96" s="6">
        <v>80</v>
      </c>
      <c r="D96">
        <f t="shared" si="2"/>
        <v>128</v>
      </c>
      <c r="E96">
        <f t="shared" si="3"/>
        <v>1</v>
      </c>
    </row>
    <row r="97" spans="3:5">
      <c r="C97" s="6">
        <v>81</v>
      </c>
      <c r="D97">
        <f t="shared" si="2"/>
        <v>129</v>
      </c>
      <c r="E97">
        <f t="shared" si="3"/>
        <v>1</v>
      </c>
    </row>
    <row r="98" spans="3:5">
      <c r="C98" s="6">
        <v>82</v>
      </c>
      <c r="D98">
        <f t="shared" si="2"/>
        <v>130</v>
      </c>
      <c r="E98">
        <f t="shared" si="3"/>
        <v>1</v>
      </c>
    </row>
    <row r="99" spans="3:5">
      <c r="C99" s="6">
        <v>83</v>
      </c>
      <c r="D99">
        <f t="shared" si="2"/>
        <v>131</v>
      </c>
      <c r="E99">
        <f t="shared" si="3"/>
        <v>1</v>
      </c>
    </row>
    <row r="100" spans="3:5">
      <c r="C100" s="6">
        <v>84</v>
      </c>
      <c r="D100">
        <f t="shared" si="2"/>
        <v>132</v>
      </c>
      <c r="E100">
        <f t="shared" si="3"/>
        <v>1</v>
      </c>
    </row>
    <row r="101" spans="3:5">
      <c r="C101" s="6">
        <v>85</v>
      </c>
      <c r="D101">
        <f t="shared" si="2"/>
        <v>133</v>
      </c>
      <c r="E101">
        <f t="shared" si="3"/>
        <v>1</v>
      </c>
    </row>
    <row r="102" spans="3:5">
      <c r="C102" s="6">
        <v>86</v>
      </c>
      <c r="D102">
        <f t="shared" si="2"/>
        <v>134</v>
      </c>
      <c r="E102">
        <f t="shared" si="3"/>
        <v>1</v>
      </c>
    </row>
    <row r="103" spans="3:5">
      <c r="C103" s="6">
        <v>87</v>
      </c>
      <c r="D103">
        <f t="shared" si="2"/>
        <v>135</v>
      </c>
      <c r="E103">
        <f t="shared" si="3"/>
        <v>1</v>
      </c>
    </row>
    <row r="104" spans="3:5">
      <c r="C104" s="6">
        <v>88</v>
      </c>
      <c r="D104">
        <f t="shared" si="2"/>
        <v>136</v>
      </c>
      <c r="E104">
        <f t="shared" si="3"/>
        <v>1</v>
      </c>
    </row>
    <row r="105" spans="3:5">
      <c r="C105" s="6">
        <v>89</v>
      </c>
      <c r="D105">
        <f t="shared" si="2"/>
        <v>137</v>
      </c>
      <c r="E105">
        <f t="shared" si="3"/>
        <v>1</v>
      </c>
    </row>
    <row r="106" spans="3:5">
      <c r="C106" s="6" t="s">
        <v>835</v>
      </c>
      <c r="D106">
        <f t="shared" si="2"/>
        <v>138</v>
      </c>
      <c r="E106">
        <f t="shared" si="3"/>
        <v>1</v>
      </c>
    </row>
    <row r="107" spans="3:5">
      <c r="C107" s="6" t="s">
        <v>836</v>
      </c>
      <c r="D107">
        <f t="shared" si="2"/>
        <v>139</v>
      </c>
      <c r="E107">
        <f t="shared" si="3"/>
        <v>1</v>
      </c>
    </row>
    <row r="108" spans="3:5">
      <c r="C108" s="6" t="s">
        <v>837</v>
      </c>
      <c r="D108">
        <f t="shared" si="2"/>
        <v>140</v>
      </c>
      <c r="E108">
        <f t="shared" si="3"/>
        <v>1</v>
      </c>
    </row>
    <row r="109" spans="3:5">
      <c r="C109" s="6" t="s">
        <v>838</v>
      </c>
      <c r="D109">
        <f t="shared" si="2"/>
        <v>141</v>
      </c>
      <c r="E109">
        <f t="shared" si="3"/>
        <v>1</v>
      </c>
    </row>
    <row r="110" spans="3:5">
      <c r="C110" s="6" t="s">
        <v>839</v>
      </c>
      <c r="D110">
        <f t="shared" si="2"/>
        <v>142</v>
      </c>
      <c r="E110">
        <f t="shared" si="3"/>
        <v>1</v>
      </c>
    </row>
    <row r="111" spans="3:5">
      <c r="C111" s="6" t="s">
        <v>840</v>
      </c>
      <c r="D111">
        <f t="shared" si="2"/>
        <v>143</v>
      </c>
      <c r="E111">
        <f t="shared" si="3"/>
        <v>1</v>
      </c>
    </row>
    <row r="112" spans="3:5">
      <c r="C112" s="6">
        <v>90</v>
      </c>
      <c r="D112">
        <f t="shared" si="2"/>
        <v>144</v>
      </c>
      <c r="E112">
        <f t="shared" si="3"/>
        <v>1</v>
      </c>
    </row>
    <row r="113" spans="3:5">
      <c r="C113" s="6">
        <v>91</v>
      </c>
      <c r="D113">
        <f t="shared" si="2"/>
        <v>145</v>
      </c>
      <c r="E113">
        <f t="shared" si="3"/>
        <v>1</v>
      </c>
    </row>
    <row r="114" spans="3:5">
      <c r="C114" s="6">
        <v>92</v>
      </c>
      <c r="D114">
        <f t="shared" si="2"/>
        <v>146</v>
      </c>
      <c r="E114">
        <f t="shared" si="3"/>
        <v>1</v>
      </c>
    </row>
    <row r="115" spans="3:5">
      <c r="C115" s="6">
        <v>93</v>
      </c>
      <c r="D115">
        <f t="shared" si="2"/>
        <v>147</v>
      </c>
      <c r="E115">
        <f t="shared" si="3"/>
        <v>13</v>
      </c>
    </row>
    <row r="116" spans="3:5">
      <c r="C116" s="6" t="s">
        <v>841</v>
      </c>
      <c r="D116">
        <f t="shared" si="2"/>
        <v>160</v>
      </c>
      <c r="E116">
        <f t="shared" si="3"/>
        <v>1</v>
      </c>
    </row>
    <row r="117" spans="3:5">
      <c r="C117" s="6" t="s">
        <v>842</v>
      </c>
      <c r="D117">
        <f t="shared" si="2"/>
        <v>161</v>
      </c>
      <c r="E117">
        <f t="shared" si="3"/>
        <v>1</v>
      </c>
    </row>
    <row r="118" spans="3:5">
      <c r="C118" s="6" t="s">
        <v>843</v>
      </c>
      <c r="D118">
        <f t="shared" si="2"/>
        <v>162</v>
      </c>
      <c r="E118">
        <f t="shared" si="3"/>
        <v>1</v>
      </c>
    </row>
    <row r="119" spans="3:5">
      <c r="C119" s="6" t="s">
        <v>844</v>
      </c>
      <c r="D119">
        <f t="shared" si="2"/>
        <v>163</v>
      </c>
      <c r="E119">
        <f t="shared" si="3"/>
        <v>1</v>
      </c>
    </row>
    <row r="120" spans="3:5">
      <c r="C120" s="6" t="s">
        <v>845</v>
      </c>
      <c r="D120">
        <f t="shared" si="2"/>
        <v>164</v>
      </c>
      <c r="E120">
        <f t="shared" si="3"/>
        <v>1</v>
      </c>
    </row>
    <row r="121" spans="3:5">
      <c r="C121" s="6" t="s">
        <v>846</v>
      </c>
      <c r="D121">
        <f t="shared" si="2"/>
        <v>165</v>
      </c>
      <c r="E121">
        <f t="shared" si="3"/>
        <v>1</v>
      </c>
    </row>
    <row r="122" spans="3:5">
      <c r="C122" s="6" t="s">
        <v>847</v>
      </c>
      <c r="D122">
        <f t="shared" si="2"/>
        <v>166</v>
      </c>
      <c r="E122">
        <f t="shared" si="3"/>
        <v>1</v>
      </c>
    </row>
    <row r="123" spans="3:5">
      <c r="C123" s="6" t="s">
        <v>848</v>
      </c>
      <c r="D123">
        <f t="shared" si="2"/>
        <v>167</v>
      </c>
      <c r="E123">
        <f t="shared" si="3"/>
        <v>1</v>
      </c>
    </row>
    <row r="124" spans="3:5">
      <c r="C124" s="6" t="s">
        <v>849</v>
      </c>
      <c r="D124">
        <f t="shared" si="2"/>
        <v>168</v>
      </c>
      <c r="E124">
        <f t="shared" si="3"/>
        <v>1</v>
      </c>
    </row>
    <row r="125" spans="3:5">
      <c r="C125" s="6" t="s">
        <v>850</v>
      </c>
      <c r="D125">
        <f t="shared" si="2"/>
        <v>169</v>
      </c>
      <c r="E125">
        <f t="shared" si="3"/>
        <v>1</v>
      </c>
    </row>
    <row r="126" spans="3:5">
      <c r="C126" s="6" t="s">
        <v>851</v>
      </c>
      <c r="D126">
        <f t="shared" si="2"/>
        <v>170</v>
      </c>
      <c r="E126">
        <f t="shared" si="3"/>
        <v>1</v>
      </c>
    </row>
    <row r="127" spans="3:5">
      <c r="C127" s="6" t="s">
        <v>852</v>
      </c>
      <c r="D127">
        <f t="shared" si="2"/>
        <v>171</v>
      </c>
      <c r="E127">
        <f t="shared" si="3"/>
        <v>1</v>
      </c>
    </row>
    <row r="128" spans="3:5">
      <c r="C128" s="6" t="s">
        <v>853</v>
      </c>
      <c r="D128">
        <f t="shared" si="2"/>
        <v>172</v>
      </c>
      <c r="E128">
        <f t="shared" si="3"/>
        <v>1</v>
      </c>
    </row>
    <row r="129" spans="3:5">
      <c r="C129" s="6" t="s">
        <v>854</v>
      </c>
      <c r="D129">
        <f t="shared" si="2"/>
        <v>173</v>
      </c>
      <c r="E129">
        <f t="shared" si="3"/>
        <v>1</v>
      </c>
    </row>
    <row r="130" spans="3:5">
      <c r="C130" s="6" t="s">
        <v>855</v>
      </c>
      <c r="D130">
        <f t="shared" si="2"/>
        <v>174</v>
      </c>
      <c r="E130">
        <f t="shared" si="3"/>
        <v>1</v>
      </c>
    </row>
    <row r="131" spans="3:5">
      <c r="C131" s="6" t="s">
        <v>856</v>
      </c>
      <c r="D131">
        <f t="shared" ref="D131:D194" si="4">HEX2DEC(C131)</f>
        <v>175</v>
      </c>
      <c r="E131">
        <f t="shared" ref="E131:E194" si="5">D132-D131</f>
        <v>1</v>
      </c>
    </row>
    <row r="132" spans="3:5">
      <c r="C132" s="6" t="s">
        <v>857</v>
      </c>
      <c r="D132">
        <f t="shared" si="4"/>
        <v>176</v>
      </c>
      <c r="E132">
        <f t="shared" si="5"/>
        <v>1</v>
      </c>
    </row>
    <row r="133" spans="3:5">
      <c r="C133" s="6" t="s">
        <v>858</v>
      </c>
      <c r="D133">
        <f t="shared" si="4"/>
        <v>177</v>
      </c>
      <c r="E133">
        <f t="shared" si="5"/>
        <v>1</v>
      </c>
    </row>
    <row r="134" spans="3:5">
      <c r="C134" s="6" t="s">
        <v>859</v>
      </c>
      <c r="D134">
        <f t="shared" si="4"/>
        <v>178</v>
      </c>
      <c r="E134">
        <f t="shared" si="5"/>
        <v>1</v>
      </c>
    </row>
    <row r="135" spans="3:5">
      <c r="C135" s="6" t="s">
        <v>860</v>
      </c>
      <c r="D135">
        <f t="shared" si="4"/>
        <v>179</v>
      </c>
      <c r="E135">
        <f t="shared" si="5"/>
        <v>1</v>
      </c>
    </row>
    <row r="136" spans="3:5">
      <c r="C136" s="6" t="s">
        <v>861</v>
      </c>
      <c r="D136">
        <f t="shared" si="4"/>
        <v>180</v>
      </c>
      <c r="E136">
        <f t="shared" si="5"/>
        <v>1</v>
      </c>
    </row>
    <row r="137" spans="3:5">
      <c r="C137" s="6" t="s">
        <v>862</v>
      </c>
      <c r="D137">
        <f t="shared" si="4"/>
        <v>181</v>
      </c>
      <c r="E137">
        <f t="shared" si="5"/>
        <v>1</v>
      </c>
    </row>
    <row r="138" spans="3:5">
      <c r="C138" s="6" t="s">
        <v>863</v>
      </c>
      <c r="D138">
        <f t="shared" si="4"/>
        <v>182</v>
      </c>
      <c r="E138">
        <f t="shared" si="5"/>
        <v>1</v>
      </c>
    </row>
    <row r="139" spans="3:5">
      <c r="C139" s="6" t="s">
        <v>864</v>
      </c>
      <c r="D139">
        <f t="shared" si="4"/>
        <v>183</v>
      </c>
      <c r="E139">
        <f t="shared" si="5"/>
        <v>1</v>
      </c>
    </row>
    <row r="140" spans="3:5">
      <c r="C140" s="6" t="s">
        <v>865</v>
      </c>
      <c r="D140">
        <f t="shared" si="4"/>
        <v>184</v>
      </c>
      <c r="E140">
        <f t="shared" si="5"/>
        <v>1</v>
      </c>
    </row>
    <row r="141" spans="3:5">
      <c r="C141" s="6" t="s">
        <v>866</v>
      </c>
      <c r="D141">
        <f t="shared" si="4"/>
        <v>185</v>
      </c>
      <c r="E141">
        <f t="shared" si="5"/>
        <v>1</v>
      </c>
    </row>
    <row r="142" spans="3:5">
      <c r="C142" s="6" t="s">
        <v>867</v>
      </c>
      <c r="D142">
        <f t="shared" si="4"/>
        <v>186</v>
      </c>
      <c r="E142">
        <f t="shared" si="5"/>
        <v>1</v>
      </c>
    </row>
    <row r="143" spans="3:5">
      <c r="C143" s="6" t="s">
        <v>868</v>
      </c>
      <c r="D143">
        <f t="shared" si="4"/>
        <v>187</v>
      </c>
      <c r="E143">
        <f t="shared" si="5"/>
        <v>1</v>
      </c>
    </row>
    <row r="144" spans="3:5">
      <c r="C144" s="6" t="s">
        <v>869</v>
      </c>
      <c r="D144">
        <f t="shared" si="4"/>
        <v>188</v>
      </c>
      <c r="E144">
        <f t="shared" si="5"/>
        <v>1</v>
      </c>
    </row>
    <row r="145" spans="3:5">
      <c r="C145" s="6" t="s">
        <v>870</v>
      </c>
      <c r="D145">
        <f t="shared" si="4"/>
        <v>189</v>
      </c>
      <c r="E145">
        <f t="shared" si="5"/>
        <v>1</v>
      </c>
    </row>
    <row r="146" spans="3:5">
      <c r="C146" s="6" t="s">
        <v>871</v>
      </c>
      <c r="D146">
        <f t="shared" si="4"/>
        <v>190</v>
      </c>
      <c r="E146">
        <f t="shared" si="5"/>
        <v>1</v>
      </c>
    </row>
    <row r="147" spans="3:5">
      <c r="C147" s="6" t="s">
        <v>872</v>
      </c>
      <c r="D147">
        <f t="shared" si="4"/>
        <v>191</v>
      </c>
      <c r="E147">
        <f t="shared" si="5"/>
        <v>1</v>
      </c>
    </row>
    <row r="148" spans="3:5">
      <c r="C148" s="6" t="s">
        <v>873</v>
      </c>
      <c r="D148">
        <f t="shared" si="4"/>
        <v>192</v>
      </c>
      <c r="E148">
        <f t="shared" si="5"/>
        <v>1</v>
      </c>
    </row>
    <row r="149" spans="3:5">
      <c r="C149" s="6" t="s">
        <v>874</v>
      </c>
      <c r="D149">
        <f t="shared" si="4"/>
        <v>193</v>
      </c>
      <c r="E149">
        <f t="shared" si="5"/>
        <v>1</v>
      </c>
    </row>
    <row r="150" spans="3:5">
      <c r="C150" s="6" t="s">
        <v>875</v>
      </c>
      <c r="D150">
        <f t="shared" si="4"/>
        <v>194</v>
      </c>
      <c r="E150">
        <f t="shared" si="5"/>
        <v>1</v>
      </c>
    </row>
    <row r="151" spans="3:5">
      <c r="C151" s="6" t="s">
        <v>876</v>
      </c>
      <c r="D151">
        <f t="shared" si="4"/>
        <v>195</v>
      </c>
      <c r="E151">
        <f t="shared" si="5"/>
        <v>1</v>
      </c>
    </row>
    <row r="152" spans="3:5">
      <c r="C152" s="6" t="s">
        <v>877</v>
      </c>
      <c r="D152">
        <f t="shared" si="4"/>
        <v>196</v>
      </c>
      <c r="E152">
        <f t="shared" si="5"/>
        <v>1</v>
      </c>
    </row>
    <row r="153" spans="3:5">
      <c r="C153" s="6" t="s">
        <v>878</v>
      </c>
      <c r="D153">
        <f t="shared" si="4"/>
        <v>197</v>
      </c>
      <c r="E153">
        <f t="shared" si="5"/>
        <v>1</v>
      </c>
    </row>
    <row r="154" spans="3:5">
      <c r="C154" s="6" t="s">
        <v>879</v>
      </c>
      <c r="D154">
        <f t="shared" si="4"/>
        <v>198</v>
      </c>
      <c r="E154">
        <f t="shared" si="5"/>
        <v>1</v>
      </c>
    </row>
    <row r="155" spans="3:5">
      <c r="C155" s="6" t="s">
        <v>880</v>
      </c>
      <c r="D155">
        <f t="shared" si="4"/>
        <v>199</v>
      </c>
      <c r="E155">
        <f t="shared" si="5"/>
        <v>1</v>
      </c>
    </row>
    <row r="156" spans="3:5">
      <c r="C156" s="6" t="s">
        <v>881</v>
      </c>
      <c r="D156">
        <f t="shared" si="4"/>
        <v>200</v>
      </c>
      <c r="E156">
        <f t="shared" si="5"/>
        <v>1</v>
      </c>
    </row>
    <row r="157" spans="3:5">
      <c r="C157" s="6" t="s">
        <v>882</v>
      </c>
      <c r="D157">
        <f t="shared" si="4"/>
        <v>201</v>
      </c>
      <c r="E157">
        <f t="shared" si="5"/>
        <v>1</v>
      </c>
    </row>
    <row r="158" spans="3:5">
      <c r="C158" s="6" t="s">
        <v>883</v>
      </c>
      <c r="D158">
        <f t="shared" si="4"/>
        <v>202</v>
      </c>
      <c r="E158">
        <f t="shared" si="5"/>
        <v>1</v>
      </c>
    </row>
    <row r="159" spans="3:5">
      <c r="C159" s="6" t="s">
        <v>884</v>
      </c>
      <c r="D159">
        <f t="shared" si="4"/>
        <v>203</v>
      </c>
      <c r="E159">
        <f t="shared" si="5"/>
        <v>5</v>
      </c>
    </row>
    <row r="160" spans="3:5">
      <c r="C160" s="6" t="s">
        <v>885</v>
      </c>
      <c r="D160">
        <f t="shared" si="4"/>
        <v>208</v>
      </c>
      <c r="E160">
        <f t="shared" si="5"/>
        <v>1</v>
      </c>
    </row>
    <row r="161" spans="3:5">
      <c r="C161" s="6" t="s">
        <v>886</v>
      </c>
      <c r="D161">
        <f t="shared" si="4"/>
        <v>209</v>
      </c>
      <c r="E161">
        <f t="shared" si="5"/>
        <v>1</v>
      </c>
    </row>
    <row r="162" spans="3:5">
      <c r="C162" s="6" t="s">
        <v>887</v>
      </c>
      <c r="D162">
        <f t="shared" si="4"/>
        <v>210</v>
      </c>
      <c r="E162">
        <f t="shared" si="5"/>
        <v>1</v>
      </c>
    </row>
    <row r="163" spans="3:5">
      <c r="C163" s="6" t="s">
        <v>888</v>
      </c>
      <c r="D163">
        <f t="shared" si="4"/>
        <v>211</v>
      </c>
      <c r="E163">
        <f t="shared" si="5"/>
        <v>1</v>
      </c>
    </row>
    <row r="164" spans="3:5">
      <c r="C164" s="6" t="s">
        <v>889</v>
      </c>
      <c r="D164">
        <f t="shared" si="4"/>
        <v>212</v>
      </c>
      <c r="E164">
        <f t="shared" si="5"/>
        <v>1</v>
      </c>
    </row>
    <row r="165" spans="3:5">
      <c r="C165" s="6" t="s">
        <v>890</v>
      </c>
      <c r="D165">
        <f t="shared" si="4"/>
        <v>213</v>
      </c>
      <c r="E165">
        <f t="shared" si="5"/>
        <v>1</v>
      </c>
    </row>
    <row r="166" spans="3:5">
      <c r="C166" s="6" t="s">
        <v>891</v>
      </c>
      <c r="D166">
        <f t="shared" si="4"/>
        <v>214</v>
      </c>
      <c r="E166">
        <f t="shared" si="5"/>
        <v>1</v>
      </c>
    </row>
    <row r="167" spans="3:5">
      <c r="C167" s="6" t="s">
        <v>892</v>
      </c>
      <c r="D167">
        <f t="shared" si="4"/>
        <v>215</v>
      </c>
      <c r="E167">
        <f t="shared" si="5"/>
        <v>2</v>
      </c>
    </row>
    <row r="168" spans="3:5">
      <c r="C168" s="6" t="s">
        <v>893</v>
      </c>
      <c r="D168">
        <f t="shared" si="4"/>
        <v>217</v>
      </c>
      <c r="E168">
        <f t="shared" si="5"/>
        <v>1</v>
      </c>
    </row>
    <row r="169" spans="3:5">
      <c r="C169" s="6" t="s">
        <v>894</v>
      </c>
      <c r="D169">
        <f t="shared" si="4"/>
        <v>218</v>
      </c>
      <c r="E169">
        <f t="shared" si="5"/>
        <v>1</v>
      </c>
    </row>
    <row r="170" spans="3:5">
      <c r="C170" s="6" t="s">
        <v>895</v>
      </c>
      <c r="D170">
        <f t="shared" si="4"/>
        <v>219</v>
      </c>
      <c r="E170">
        <f t="shared" si="5"/>
        <v>1</v>
      </c>
    </row>
    <row r="171" spans="3:5">
      <c r="C171" s="6" t="s">
        <v>896</v>
      </c>
      <c r="D171">
        <f t="shared" si="4"/>
        <v>220</v>
      </c>
      <c r="E171">
        <f t="shared" si="5"/>
        <v>1</v>
      </c>
    </row>
    <row r="172" spans="3:5">
      <c r="C172" s="6" t="s">
        <v>897</v>
      </c>
      <c r="D172">
        <f t="shared" si="4"/>
        <v>221</v>
      </c>
      <c r="E172">
        <f t="shared" si="5"/>
        <v>1</v>
      </c>
    </row>
    <row r="173" spans="3:5">
      <c r="C173" s="6" t="s">
        <v>898</v>
      </c>
      <c r="D173">
        <f t="shared" si="4"/>
        <v>222</v>
      </c>
      <c r="E173">
        <f t="shared" si="5"/>
        <v>1</v>
      </c>
    </row>
    <row r="174" spans="3:5">
      <c r="C174" s="6" t="s">
        <v>899</v>
      </c>
      <c r="D174">
        <f t="shared" si="4"/>
        <v>223</v>
      </c>
      <c r="E174">
        <f t="shared" si="5"/>
        <v>1</v>
      </c>
    </row>
    <row r="175" spans="3:5">
      <c r="C175" s="6" t="s">
        <v>900</v>
      </c>
      <c r="D175">
        <f t="shared" si="4"/>
        <v>224</v>
      </c>
      <c r="E175">
        <f t="shared" si="5"/>
        <v>1</v>
      </c>
    </row>
    <row r="176" spans="3:5">
      <c r="C176" s="6" t="s">
        <v>901</v>
      </c>
      <c r="D176">
        <f t="shared" si="4"/>
        <v>225</v>
      </c>
      <c r="E176">
        <f t="shared" si="5"/>
        <v>1</v>
      </c>
    </row>
    <row r="177" spans="3:5">
      <c r="C177" s="6" t="s">
        <v>902</v>
      </c>
      <c r="D177">
        <f t="shared" si="4"/>
        <v>226</v>
      </c>
      <c r="E177">
        <f t="shared" si="5"/>
        <v>1</v>
      </c>
    </row>
    <row r="178" spans="3:5">
      <c r="C178" s="6" t="s">
        <v>903</v>
      </c>
      <c r="D178">
        <f t="shared" si="4"/>
        <v>227</v>
      </c>
      <c r="E178">
        <f t="shared" si="5"/>
        <v>1</v>
      </c>
    </row>
    <row r="179" spans="3:5">
      <c r="C179" s="6" t="s">
        <v>904</v>
      </c>
      <c r="D179">
        <f t="shared" si="4"/>
        <v>228</v>
      </c>
      <c r="E179">
        <f t="shared" si="5"/>
        <v>1</v>
      </c>
    </row>
    <row r="180" spans="3:5">
      <c r="C180" s="6" t="s">
        <v>905</v>
      </c>
      <c r="D180">
        <f t="shared" si="4"/>
        <v>229</v>
      </c>
      <c r="E180">
        <f t="shared" si="5"/>
        <v>1</v>
      </c>
    </row>
    <row r="181" spans="3:5">
      <c r="C181" s="6" t="s">
        <v>906</v>
      </c>
      <c r="D181">
        <f t="shared" si="4"/>
        <v>230</v>
      </c>
      <c r="E181">
        <f t="shared" si="5"/>
        <v>1</v>
      </c>
    </row>
    <row r="182" spans="3:5">
      <c r="C182" s="6" t="s">
        <v>907</v>
      </c>
      <c r="D182">
        <f t="shared" si="4"/>
        <v>231</v>
      </c>
      <c r="E182">
        <f t="shared" si="5"/>
        <v>2</v>
      </c>
    </row>
    <row r="183" spans="3:5">
      <c r="C183" s="6" t="s">
        <v>908</v>
      </c>
      <c r="D183">
        <f t="shared" si="4"/>
        <v>233</v>
      </c>
      <c r="E183">
        <f t="shared" si="5"/>
        <v>1</v>
      </c>
    </row>
    <row r="184" spans="3:5">
      <c r="C184" s="6" t="s">
        <v>909</v>
      </c>
      <c r="D184">
        <f t="shared" si="4"/>
        <v>234</v>
      </c>
      <c r="E184">
        <f t="shared" si="5"/>
        <v>1</v>
      </c>
    </row>
    <row r="185" spans="3:5">
      <c r="C185" s="6" t="s">
        <v>910</v>
      </c>
      <c r="D185">
        <f t="shared" si="4"/>
        <v>235</v>
      </c>
      <c r="E185">
        <f t="shared" si="5"/>
        <v>2</v>
      </c>
    </row>
    <row r="186" spans="3:5">
      <c r="C186" s="6" t="s">
        <v>911</v>
      </c>
      <c r="D186">
        <f t="shared" si="4"/>
        <v>237</v>
      </c>
      <c r="E186">
        <f t="shared" si="5"/>
        <v>1</v>
      </c>
    </row>
    <row r="187" spans="3:5">
      <c r="C187" s="6" t="s">
        <v>912</v>
      </c>
      <c r="D187">
        <f t="shared" si="4"/>
        <v>238</v>
      </c>
      <c r="E187">
        <f t="shared" si="5"/>
        <v>1</v>
      </c>
    </row>
    <row r="188" spans="3:5">
      <c r="C188" s="6" t="s">
        <v>913</v>
      </c>
      <c r="D188">
        <f t="shared" si="4"/>
        <v>239</v>
      </c>
      <c r="E188">
        <f t="shared" si="5"/>
        <v>2</v>
      </c>
    </row>
    <row r="189" spans="3:5">
      <c r="C189" s="6" t="s">
        <v>914</v>
      </c>
      <c r="D189">
        <f t="shared" si="4"/>
        <v>241</v>
      </c>
      <c r="E189">
        <f t="shared" si="5"/>
        <v>1</v>
      </c>
    </row>
    <row r="190" spans="3:5">
      <c r="C190" s="6" t="s">
        <v>915</v>
      </c>
      <c r="D190">
        <f t="shared" si="4"/>
        <v>242</v>
      </c>
      <c r="E190">
        <f t="shared" si="5"/>
        <v>1</v>
      </c>
    </row>
    <row r="191" spans="3:5">
      <c r="C191" s="6" t="s">
        <v>916</v>
      </c>
      <c r="D191">
        <f t="shared" si="4"/>
        <v>243</v>
      </c>
      <c r="E191">
        <f t="shared" si="5"/>
        <v>2</v>
      </c>
    </row>
    <row r="192" spans="3:5">
      <c r="C192" s="6" t="s">
        <v>917</v>
      </c>
      <c r="D192">
        <f t="shared" si="4"/>
        <v>245</v>
      </c>
      <c r="E192">
        <f t="shared" si="5"/>
        <v>1</v>
      </c>
    </row>
    <row r="193" spans="3:5">
      <c r="C193" s="6" t="s">
        <v>918</v>
      </c>
      <c r="D193">
        <f t="shared" si="4"/>
        <v>246</v>
      </c>
      <c r="E193">
        <f t="shared" si="5"/>
        <v>1</v>
      </c>
    </row>
    <row r="194" spans="3:5">
      <c r="C194" s="6" t="s">
        <v>919</v>
      </c>
      <c r="D194">
        <f t="shared" si="4"/>
        <v>247</v>
      </c>
      <c r="E194">
        <f t="shared" si="5"/>
        <v>1</v>
      </c>
    </row>
    <row r="195" spans="3:5">
      <c r="C195" s="6" t="s">
        <v>920</v>
      </c>
      <c r="D195">
        <f t="shared" ref="D195:D202" si="6">HEX2DEC(C195)</f>
        <v>248</v>
      </c>
      <c r="E195">
        <f t="shared" ref="E195:E202" si="7">D196-D195</f>
        <v>1</v>
      </c>
    </row>
    <row r="196" spans="3:5">
      <c r="C196" s="6" t="s">
        <v>921</v>
      </c>
      <c r="D196">
        <f t="shared" si="6"/>
        <v>249</v>
      </c>
      <c r="E196">
        <f t="shared" si="7"/>
        <v>1</v>
      </c>
    </row>
    <row r="197" spans="3:5">
      <c r="C197" s="6" t="s">
        <v>922</v>
      </c>
      <c r="D197">
        <f t="shared" si="6"/>
        <v>250</v>
      </c>
      <c r="E197">
        <f t="shared" si="7"/>
        <v>1</v>
      </c>
    </row>
    <row r="198" spans="3:5">
      <c r="C198" s="6" t="s">
        <v>923</v>
      </c>
      <c r="D198">
        <f t="shared" si="6"/>
        <v>251</v>
      </c>
      <c r="E198">
        <f t="shared" si="7"/>
        <v>1</v>
      </c>
    </row>
    <row r="199" spans="3:5">
      <c r="C199" s="6" t="s">
        <v>924</v>
      </c>
      <c r="D199">
        <f t="shared" si="6"/>
        <v>252</v>
      </c>
      <c r="E199">
        <f t="shared" si="7"/>
        <v>1</v>
      </c>
    </row>
    <row r="200" spans="3:5">
      <c r="C200" s="6" t="s">
        <v>925</v>
      </c>
      <c r="D200">
        <f t="shared" si="6"/>
        <v>253</v>
      </c>
      <c r="E200">
        <f t="shared" si="7"/>
        <v>1</v>
      </c>
    </row>
    <row r="201" spans="3:5">
      <c r="C201" s="6" t="s">
        <v>926</v>
      </c>
      <c r="D201">
        <f t="shared" si="6"/>
        <v>254</v>
      </c>
      <c r="E201">
        <f t="shared" si="7"/>
        <v>1</v>
      </c>
    </row>
    <row r="202" spans="3:5">
      <c r="C202" s="6" t="s">
        <v>927</v>
      </c>
      <c r="D202">
        <f t="shared" si="6"/>
        <v>255</v>
      </c>
      <c r="E202">
        <f t="shared" si="7"/>
        <v>1</v>
      </c>
    </row>
    <row r="203" spans="3:5">
      <c r="D203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Radoslav Marinov</dc:creator>
  <cp:lastModifiedBy>Radoslav Marinov</cp:lastModifiedBy>
  <dcterms:created xsi:type="dcterms:W3CDTF">2016-07-12T07:59:48Z</dcterms:created>
  <dcterms:modified xsi:type="dcterms:W3CDTF">2016-07-14T07:18:54Z</dcterms:modified>
</cp:coreProperties>
</file>